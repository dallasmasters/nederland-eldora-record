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ummary" sheetId="2" state="visible" r:id="rId2"/>
    <sheet xmlns:r="http://schemas.openxmlformats.org/officeDocument/2006/relationships" name="Payments" sheetId="3" state="visible" r:id="rId3"/>
    <sheet xmlns:r="http://schemas.openxmlformats.org/officeDocument/2006/relationships" name="Off-list postings" sheetId="4" state="visible" r:id="rId4"/>
    <sheet xmlns:r="http://schemas.openxmlformats.org/officeDocument/2006/relationships" name="Running balance" sheetId="5" state="visible" r:id="rId5"/>
    <sheet xmlns:r="http://schemas.openxmlformats.org/officeDocument/2006/relationships" name="Payees" sheetId="6" state="visible" r:id="rId6"/>
    <sheet xmlns:r="http://schemas.openxmlformats.org/officeDocument/2006/relationships" name="Estimates vs paid" sheetId="7" state="visible" r:id="rId7"/>
    <sheet xmlns:r="http://schemas.openxmlformats.org/officeDocument/2006/relationships" name="Commitments" sheetId="8" state="visible" r:id="rId8"/>
    <sheet xmlns:r="http://schemas.openxmlformats.org/officeDocument/2006/relationships" name="CSAFE and funds" sheetId="9" state="visible" r:id="rId9"/>
    <sheet xmlns:r="http://schemas.openxmlformats.org/officeDocument/2006/relationships" name="For scale" sheetId="10" state="visible" r:id="rId10"/>
    <sheet xmlns:r="http://schemas.openxmlformats.org/officeDocument/2006/relationships" name="Board votes" sheetId="11" state="visible" r:id="rId11"/>
  </sheets>
  <definedNames>
    <definedName name="_xlnm._FilterDatabase" localSheetId="1" hidden="1">'Summary'!$A$1:$D$1</definedName>
    <definedName name="_xlnm._FilterDatabase" localSheetId="2" hidden="1">'Payments'!$A$1:$K$77</definedName>
    <definedName name="_xlnm._FilterDatabase" localSheetId="3" hidden="1">'Off-list postings'!$A$1:$G$11</definedName>
    <definedName name="_xlnm._FilterDatabase" localSheetId="4" hidden="1">'Running balance'!$A$1:$G$23</definedName>
    <definedName name="_xlnm._FilterDatabase" localSheetId="5" hidden="1">'Payees'!$A$1:$H$19</definedName>
    <definedName name="_xlnm._FilterDatabase" localSheetId="6" hidden="1">'Estimates vs paid'!$A$1:$H$7</definedName>
    <definedName name="_xlnm._FilterDatabase" localSheetId="7" hidden="1">'Commitments'!$A$1:$G$9</definedName>
    <definedName name="_xlnm._FilterDatabase" localSheetId="8" hidden="1">'CSAFE and funds'!$A$1:$E$6</definedName>
    <definedName name="_xlnm._FilterDatabase" localSheetId="9" hidden="1">'For scale'!$A$1:$G$8</definedName>
    <definedName name="_xlnm._FilterDatabase" localSheetId="10" hidden="1">'Board votes'!$A$1:$K$49</definedName>
  </definedNames>
  <calcPr calcId="124519" fullCalcOnLoad="1"/>
</workbook>
</file>

<file path=xl/styles.xml><?xml version="1.0" encoding="utf-8"?>
<styleSheet xmlns="http://schemas.openxmlformats.org/spreadsheetml/2006/main">
  <numFmts count="4">
    <numFmt numFmtId="164" formatCode="yyyy-mm-dd"/>
    <numFmt numFmtId="165" formatCode="mmm d, yyyy"/>
    <numFmt numFmtId="166" formatCode="&quot;$&quot;#,##0.00"/>
    <numFmt numFmtId="167" formatCode="&quot;$&quot;#,##0"/>
  </numFmts>
  <fonts count="6">
    <font>
      <name val="Calibri"/>
      <family val="2"/>
      <color theme="1"/>
      <sz val="11"/>
      <scheme val="minor"/>
    </font>
    <font>
      <b val="1"/>
      <sz val="14"/>
    </font>
    <font>
      <sz val="11"/>
    </font>
    <font>
      <b val="1"/>
      <sz val="11"/>
    </font>
    <font>
      <b val="1"/>
    </font>
    <font>
      <color rgb="001F5F8B"/>
      <u val="single"/>
    </font>
  </fonts>
  <fills count="3">
    <fill>
      <patternFill/>
    </fill>
    <fill>
      <patternFill patternType="gray125"/>
    </fill>
    <fill>
      <patternFill patternType="solid">
        <fgColor rgb="00DDE7EA"/>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0" fillId="0" borderId="0" applyAlignment="1" pivotButton="0" quotePrefix="0" xfId="0">
      <alignment vertical="top" wrapText="1"/>
    </xf>
    <xf numFmtId="166" fontId="0" fillId="0" borderId="0" applyAlignment="1" pivotButton="0" quotePrefix="0" xfId="0">
      <alignment vertical="top" wrapText="1"/>
    </xf>
    <xf numFmtId="0" fontId="4" fillId="0" borderId="0" applyAlignment="1" pivotButton="0" quotePrefix="0" xfId="0">
      <alignment vertical="top" wrapText="1"/>
    </xf>
    <xf numFmtId="166" fontId="4" fillId="0" borderId="0" applyAlignment="1" pivotButton="0" quotePrefix="0" xfId="0">
      <alignment vertical="top" wrapText="1"/>
    </xf>
    <xf numFmtId="165" fontId="0" fillId="0" borderId="0" applyAlignment="1" pivotButton="0" quotePrefix="0" xfId="0">
      <alignment vertical="top"/>
    </xf>
    <xf numFmtId="0"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5" fillId="0" borderId="0" applyAlignment="1" pivotButton="0" quotePrefix="0" xfId="0">
      <alignment vertical="top"/>
    </xf>
    <xf numFmtId="0" fontId="4" fillId="0" borderId="0" applyAlignment="1" pivotButton="0" quotePrefix="0" xfId="0">
      <alignment vertical="top"/>
    </xf>
    <xf numFmtId="166" fontId="4" fillId="0" borderId="0" applyAlignment="1" pivotButton="0" quotePrefix="0" xfId="0">
      <alignment vertical="top"/>
    </xf>
    <xf numFmtId="165" fontId="4" fillId="0" borderId="0" applyAlignment="1" pivotButton="0" quotePrefix="0" xfId="0">
      <alignment vertical="top"/>
    </xf>
    <xf numFmtId="167" fontId="0" fillId="0" borderId="0" applyAlignment="1" pivotButton="0" quotePrefix="0" xfId="0">
      <alignment vertical="top"/>
    </xf>
    <xf numFmtId="0" fontId="4" fillId="0" borderId="0" pivotButton="0" quotePrefix="0" xfId="0"/>
    <xf numFmtId="167" fontId="0"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ldorarecord.org/" TargetMode="External" Id="rId1"/></Relationships>
</file>

<file path=xl/worksheets/_rels/sheet2.xml.rels><Relationships xmlns="http://schemas.openxmlformats.org/package/2006/relationships"><Relationship Type="http://schemas.openxmlformats.org/officeDocument/2006/relationships/hyperlink" Target="https://www.nederlandco.gov/m/newsflash/home/detail/21" TargetMode="External" Id="rId1"/><Relationship Type="http://schemas.openxmlformats.org/officeDocument/2006/relationships/hyperlink" Target="https://eldorarecord.org/records/2026-10-29-town-cora-response.txt" TargetMode="External" Id="rId2"/></Relationships>
</file>

<file path=xl/worksheets/_rels/sheet3.xml.rels><Relationships xmlns="http://schemas.openxmlformats.org/package/2006/relationships"><Relationship Type="http://schemas.openxmlformats.org/officeDocument/2006/relationships/hyperlink" Target="https://nederlandco.civicweb.net/document/124842/" TargetMode="External" Id="rId1"/><Relationship Type="http://schemas.openxmlformats.org/officeDocument/2006/relationships/hyperlink" Target="https://nederlandco.civicweb.net/document/124842/" TargetMode="External" Id="rId2"/><Relationship Type="http://schemas.openxmlformats.org/officeDocument/2006/relationships/hyperlink" Target="https://nederlandco.civicweb.net/document/124842/" TargetMode="External" Id="rId3"/><Relationship Type="http://schemas.openxmlformats.org/officeDocument/2006/relationships/hyperlink" Target="https://nederlandco.civicweb.net/document/124842/" TargetMode="External" Id="rId4"/><Relationship Type="http://schemas.openxmlformats.org/officeDocument/2006/relationships/hyperlink" Target="https://nederlandco.civicweb.net/document/125193/" TargetMode="External" Id="rId5"/><Relationship Type="http://schemas.openxmlformats.org/officeDocument/2006/relationships/hyperlink" Target="https://nederlandco.civicweb.net/document/125193/" TargetMode="External" Id="rId6"/><Relationship Type="http://schemas.openxmlformats.org/officeDocument/2006/relationships/hyperlink" Target="https://nederlandco.civicweb.net/document/125193/" TargetMode="External" Id="rId7"/><Relationship Type="http://schemas.openxmlformats.org/officeDocument/2006/relationships/hyperlink" Target="https://nederlandco.civicweb.net/document/125193/" TargetMode="External" Id="rId8"/><Relationship Type="http://schemas.openxmlformats.org/officeDocument/2006/relationships/hyperlink" Target="https://nederlandco.civicweb.net/document/125512/" TargetMode="External" Id="rId9"/><Relationship Type="http://schemas.openxmlformats.org/officeDocument/2006/relationships/hyperlink" Target="https://eldorarecord.org/records/2026-09-25-eldora-reimbursable-expenses.xls" TargetMode="External" Id="rId10"/><Relationship Type="http://schemas.openxmlformats.org/officeDocument/2006/relationships/hyperlink" Target="https://eldorarecord.org/records/2026-09-25-eldora-reimbursable-expenses.xls" TargetMode="External" Id="rId11"/><Relationship Type="http://schemas.openxmlformats.org/officeDocument/2006/relationships/hyperlink" Target="https://eldorarecord.org/records/2026-09-25-eldora-reimbursable-expenses.xls" TargetMode="External" Id="rId12"/><Relationship Type="http://schemas.openxmlformats.org/officeDocument/2006/relationships/hyperlink" Target="https://eldorarecord.org/records/2026-09-25-eldora-reimbursable-expenses.xls" TargetMode="External" Id="rId13"/><Relationship Type="http://schemas.openxmlformats.org/officeDocument/2006/relationships/hyperlink" Target="https://eldorarecord.org/records/2026-09-25-eldora-reimbursable-expenses.xls" TargetMode="External" Id="rId14"/><Relationship Type="http://schemas.openxmlformats.org/officeDocument/2006/relationships/hyperlink" Target="https://eldorarecord.org/records/2026-09-25-eldora-reimbursable-expenses.xls" TargetMode="External" Id="rId15"/><Relationship Type="http://schemas.openxmlformats.org/officeDocument/2006/relationships/hyperlink" Target="https://eldorarecord.org/records/2026-09-25-eldora-reimbursable-expenses.xls" TargetMode="External" Id="rId16"/><Relationship Type="http://schemas.openxmlformats.org/officeDocument/2006/relationships/hyperlink" Target="https://eldorarecord.org/records/2026-09-25-eldora-reimbursable-expenses.xls" TargetMode="External" Id="rId17"/><Relationship Type="http://schemas.openxmlformats.org/officeDocument/2006/relationships/hyperlink" Target="https://nederlandco.civicweb.net/document/125911/" TargetMode="External" Id="rId18"/><Relationship Type="http://schemas.openxmlformats.org/officeDocument/2006/relationships/hyperlink" Target="https://nederlandco.civicweb.net/document/125911/" TargetMode="External" Id="rId19"/><Relationship Type="http://schemas.openxmlformats.org/officeDocument/2006/relationships/hyperlink" Target="https://nederlandco.civicweb.net/document/125911/" TargetMode="External" Id="rId20"/><Relationship Type="http://schemas.openxmlformats.org/officeDocument/2006/relationships/hyperlink" Target="https://nederlandco.civicweb.net/document/125911/" TargetMode="External" Id="rId21"/><Relationship Type="http://schemas.openxmlformats.org/officeDocument/2006/relationships/hyperlink" Target="https://nederlandco.civicweb.net/document/126169/" TargetMode="External" Id="rId22"/><Relationship Type="http://schemas.openxmlformats.org/officeDocument/2006/relationships/hyperlink" Target="https://nederlandco.civicweb.net/document/126169/" TargetMode="External" Id="rId23"/><Relationship Type="http://schemas.openxmlformats.org/officeDocument/2006/relationships/hyperlink" Target="https://nederlandco.civicweb.net/document/126169/" TargetMode="External" Id="rId24"/><Relationship Type="http://schemas.openxmlformats.org/officeDocument/2006/relationships/hyperlink" Target="https://nederlandco.civicweb.net/document/126508/" TargetMode="External" Id="rId25"/><Relationship Type="http://schemas.openxmlformats.org/officeDocument/2006/relationships/hyperlink" Target="https://nederlandco.civicweb.net/document/127156/" TargetMode="External" Id="rId26"/><Relationship Type="http://schemas.openxmlformats.org/officeDocument/2006/relationships/hyperlink" Target="https://nederlandco.civicweb.net/document/127156/" TargetMode="External" Id="rId27"/><Relationship Type="http://schemas.openxmlformats.org/officeDocument/2006/relationships/hyperlink" Target="https://nederlandco.civicweb.net/document/127156/" TargetMode="External" Id="rId28"/><Relationship Type="http://schemas.openxmlformats.org/officeDocument/2006/relationships/hyperlink" Target="https://nederlandco.civicweb.net/document/127156/" TargetMode="External" Id="rId29"/><Relationship Type="http://schemas.openxmlformats.org/officeDocument/2006/relationships/hyperlink" Target="https://nederlandco.civicweb.net/document/127156/" TargetMode="External" Id="rId30"/><Relationship Type="http://schemas.openxmlformats.org/officeDocument/2006/relationships/hyperlink" Target="https://nederlandco.civicweb.net/document/127156/" TargetMode="External" Id="rId31"/><Relationship Type="http://schemas.openxmlformats.org/officeDocument/2006/relationships/hyperlink" Target="https://nederlandco.civicweb.net/document/127156/" TargetMode="External" Id="rId32"/><Relationship Type="http://schemas.openxmlformats.org/officeDocument/2006/relationships/hyperlink" Target="https://nederlandco.civicweb.net/document/127156/" TargetMode="External" Id="rId33"/><Relationship Type="http://schemas.openxmlformats.org/officeDocument/2006/relationships/hyperlink" Target="https://nederlandco.civicweb.net/document/127394/" TargetMode="External" Id="rId34"/><Relationship Type="http://schemas.openxmlformats.org/officeDocument/2006/relationships/hyperlink" Target="https://nederlandco.civicweb.net/document/127711/" TargetMode="External" Id="rId35"/><Relationship Type="http://schemas.openxmlformats.org/officeDocument/2006/relationships/hyperlink" Target="https://nederlandco.civicweb.net/document/127711/" TargetMode="External" Id="rId36"/><Relationship Type="http://schemas.openxmlformats.org/officeDocument/2006/relationships/hyperlink" Target="https://nederlandco.civicweb.net/document/127711/" TargetMode="External" Id="rId37"/><Relationship Type="http://schemas.openxmlformats.org/officeDocument/2006/relationships/hyperlink" Target="https://nederlandco.civicweb.net/document/127711/" TargetMode="External" Id="rId38"/><Relationship Type="http://schemas.openxmlformats.org/officeDocument/2006/relationships/hyperlink" Target="https://nederlandco.civicweb.net/document/127711/" TargetMode="External" Id="rId39"/><Relationship Type="http://schemas.openxmlformats.org/officeDocument/2006/relationships/hyperlink" Target="https://nederlandco.civicweb.net/document/127711/" TargetMode="External" Id="rId40"/><Relationship Type="http://schemas.openxmlformats.org/officeDocument/2006/relationships/hyperlink" Target="https://nederlandco.civicweb.net/document/127711/" TargetMode="External" Id="rId41"/><Relationship Type="http://schemas.openxmlformats.org/officeDocument/2006/relationships/hyperlink" Target="https://nederlandco.civicweb.net/document/127711/" TargetMode="External" Id="rId42"/><Relationship Type="http://schemas.openxmlformats.org/officeDocument/2006/relationships/hyperlink" Target="https://nederlandco.civicweb.net/document/128049/" TargetMode="External" Id="rId43"/><Relationship Type="http://schemas.openxmlformats.org/officeDocument/2006/relationships/hyperlink" Target="https://eldorarecord.org/records/2026-09-25-eldora-reimbursable-expenses.xls" TargetMode="External" Id="rId44"/><Relationship Type="http://schemas.openxmlformats.org/officeDocument/2006/relationships/hyperlink" Target="https://nederlandco.civicweb.net/document/128662/" TargetMode="External" Id="rId45"/><Relationship Type="http://schemas.openxmlformats.org/officeDocument/2006/relationships/hyperlink" Target="https://nederlandco.civicweb.net/document/128662/" TargetMode="External" Id="rId46"/><Relationship Type="http://schemas.openxmlformats.org/officeDocument/2006/relationships/hyperlink" Target="https://nederlandco.civicweb.net/document/128662/" TargetMode="External" Id="rId47"/><Relationship Type="http://schemas.openxmlformats.org/officeDocument/2006/relationships/hyperlink" Target="https://nederlandco.civicweb.net/document/128662/" TargetMode="External" Id="rId48"/><Relationship Type="http://schemas.openxmlformats.org/officeDocument/2006/relationships/hyperlink" Target="https://nederlandco.civicweb.net/document/128980/" TargetMode="External" Id="rId49"/><Relationship Type="http://schemas.openxmlformats.org/officeDocument/2006/relationships/hyperlink" Target="https://nederlandco.civicweb.net/document/129316/" TargetMode="External" Id="rId50"/><Relationship Type="http://schemas.openxmlformats.org/officeDocument/2006/relationships/hyperlink" Target="https://nederlandco.civicweb.net/document/129316/" TargetMode="External" Id="rId51"/><Relationship Type="http://schemas.openxmlformats.org/officeDocument/2006/relationships/hyperlink" Target="https://nederlandco.civicweb.net/document/129316/" TargetMode="External" Id="rId52"/><Relationship Type="http://schemas.openxmlformats.org/officeDocument/2006/relationships/hyperlink" Target="https://nederlandco.civicweb.net/document/129629/" TargetMode="External" Id="rId53"/><Relationship Type="http://schemas.openxmlformats.org/officeDocument/2006/relationships/hyperlink" Target="https://nederlandco.civicweb.net/document/129629/" TargetMode="External" Id="rId54"/><Relationship Type="http://schemas.openxmlformats.org/officeDocument/2006/relationships/hyperlink" Target="https://nederlandco.civicweb.net/document/129902/" TargetMode="External" Id="rId55"/><Relationship Type="http://schemas.openxmlformats.org/officeDocument/2006/relationships/hyperlink" Target="https://nederlandco.civicweb.net/document/129902/" TargetMode="External" Id="rId56"/><Relationship Type="http://schemas.openxmlformats.org/officeDocument/2006/relationships/hyperlink" Target="https://nederlandco.civicweb.net/document/130036/" TargetMode="External" Id="rId57"/><Relationship Type="http://schemas.openxmlformats.org/officeDocument/2006/relationships/hyperlink" Target="https://eldorarecord.org/records/2026-09-25-eldora-reimbursable-expenses.xls" TargetMode="External" Id="rId58"/><Relationship Type="http://schemas.openxmlformats.org/officeDocument/2006/relationships/hyperlink" Target="https://nederlandco.civicweb.net/document/130431/" TargetMode="External" Id="rId59"/><Relationship Type="http://schemas.openxmlformats.org/officeDocument/2006/relationships/hyperlink" Target="https://nederlandco.civicweb.net/document/130431/" TargetMode="External" Id="rId60"/><Relationship Type="http://schemas.openxmlformats.org/officeDocument/2006/relationships/hyperlink" Target="https://nederlandco.civicweb.net/document/130431/" TargetMode="External" Id="rId61"/><Relationship Type="http://schemas.openxmlformats.org/officeDocument/2006/relationships/hyperlink" Target="https://nederlandco.civicweb.net/document/130431/" TargetMode="External" Id="rId62"/><Relationship Type="http://schemas.openxmlformats.org/officeDocument/2006/relationships/hyperlink" Target="https://nederlandco.civicweb.net/document/130431/" TargetMode="External" Id="rId63"/><Relationship Type="http://schemas.openxmlformats.org/officeDocument/2006/relationships/hyperlink" Target="https://nederlandco.civicweb.net/document/130666/" TargetMode="External" Id="rId64"/><Relationship Type="http://schemas.openxmlformats.org/officeDocument/2006/relationships/hyperlink" Target="https://nederlandco.civicweb.net/document/130666/" TargetMode="External" Id="rId65"/><Relationship Type="http://schemas.openxmlformats.org/officeDocument/2006/relationships/hyperlink" Target="https://nederlandco.civicweb.net/document/130666/" TargetMode="External" Id="rId66"/><Relationship Type="http://schemas.openxmlformats.org/officeDocument/2006/relationships/hyperlink" Target="https://nederlandco.civicweb.net/document/130666/" TargetMode="External" Id="rId67"/><Relationship Type="http://schemas.openxmlformats.org/officeDocument/2006/relationships/hyperlink" Target="https://nederlandco.civicweb.net/document/130666/" TargetMode="External" Id="rId68"/><Relationship Type="http://schemas.openxmlformats.org/officeDocument/2006/relationships/hyperlink" Target="https://nederlandco.civicweb.net/document/131332/" TargetMode="External" Id="rId69"/><Relationship Type="http://schemas.openxmlformats.org/officeDocument/2006/relationships/hyperlink" Target="https://nederlandco.civicweb.net/document/132029/" TargetMode="External" Id="rId70"/><Relationship Type="http://schemas.openxmlformats.org/officeDocument/2006/relationships/hyperlink" Target="https://nederlandco.civicweb.net/document/132029/" TargetMode="External" Id="rId71"/><Relationship Type="http://schemas.openxmlformats.org/officeDocument/2006/relationships/hyperlink" Target="https://nederlandco.civicweb.net/document/132341/" TargetMode="External" Id="rId72"/><Relationship Type="http://schemas.openxmlformats.org/officeDocument/2006/relationships/hyperlink" Target="https://nederlandco.civicweb.net/document/132341/" TargetMode="External" Id="rId73"/><Relationship Type="http://schemas.openxmlformats.org/officeDocument/2006/relationships/hyperlink" Target="https://nederlandco.civicweb.net/document/132341/" TargetMode="External" Id="rId74"/><Relationship Type="http://schemas.openxmlformats.org/officeDocument/2006/relationships/hyperlink" Target="https://nederlandco.civicweb.net/document/132341/" TargetMode="External" Id="rId75"/><Relationship Type="http://schemas.openxmlformats.org/officeDocument/2006/relationships/hyperlink" Target="https://nederlandco.civicweb.net/document/132740/" TargetMode="External" Id="rId76"/></Relationships>
</file>

<file path=xl/worksheets/_rels/sheet4.xml.rels><Relationships xmlns="http://schemas.openxmlformats.org/package/2006/relationships"><Relationship Type="http://schemas.openxmlformats.org/officeDocument/2006/relationships/hyperlink" Target="https://eldorarecord.org/records/2026-09-25-eldora-reimbursable-expenses.xls" TargetMode="External" Id="rId1"/><Relationship Type="http://schemas.openxmlformats.org/officeDocument/2006/relationships/hyperlink" Target="https://eldorarecord.org/records/2026-09-25-eldora-reimbursable-expenses.xls" TargetMode="External" Id="rId2"/><Relationship Type="http://schemas.openxmlformats.org/officeDocument/2006/relationships/hyperlink" Target="https://eldorarecord.org/records/2026-09-25-eldora-reimbursable-expenses.xls" TargetMode="External" Id="rId3"/><Relationship Type="http://schemas.openxmlformats.org/officeDocument/2006/relationships/hyperlink" Target="https://eldorarecord.org/records/2026-09-25-eldora-reimbursable-expenses.xls" TargetMode="External" Id="rId4"/><Relationship Type="http://schemas.openxmlformats.org/officeDocument/2006/relationships/hyperlink" Target="https://eldorarecord.org/records/2026-09-25-eldora-reimbursable-expenses.xls" TargetMode="External" Id="rId5"/><Relationship Type="http://schemas.openxmlformats.org/officeDocument/2006/relationships/hyperlink" Target="https://eldorarecord.org/records/2026-09-25-eldora-reimbursable-expenses.xls" TargetMode="External" Id="rId6"/><Relationship Type="http://schemas.openxmlformats.org/officeDocument/2006/relationships/hyperlink" Target="https://eldorarecord.org/records/2026-09-25-eldora-reimbursable-expenses.xls" TargetMode="External" Id="rId7"/><Relationship Type="http://schemas.openxmlformats.org/officeDocument/2006/relationships/hyperlink" Target="https://eldorarecord.org/records/2026-09-25-eldora-reimbursable-expenses.xls" TargetMode="External" Id="rId8"/><Relationship Type="http://schemas.openxmlformats.org/officeDocument/2006/relationships/hyperlink" Target="https://eldorarecord.org/records/2026-09-25-eldora-reimbursable-expenses.xls" TargetMode="External" Id="rId9"/><Relationship Type="http://schemas.openxmlformats.org/officeDocument/2006/relationships/hyperlink" Target="https://eldorarecord.org/records/2026-09-25-eldora-reimbursable-expenses.xls" TargetMode="External" Id="rId10"/></Relationships>
</file>

<file path=xl/worksheets/_rels/sheet5.xml.rels><Relationships xmlns="http://schemas.openxmlformats.org/package/2006/relationships"><Relationship Type="http://schemas.openxmlformats.org/officeDocument/2006/relationships/hyperlink" Target="https://nederlandco.civicweb.net/document/124842/" TargetMode="External" Id="rId1"/><Relationship Type="http://schemas.openxmlformats.org/officeDocument/2006/relationships/hyperlink" Target="https://nederlandco.civicweb.net/document/125193/" TargetMode="External" Id="rId2"/><Relationship Type="http://schemas.openxmlformats.org/officeDocument/2006/relationships/hyperlink" Target="https://nederlandco.civicweb.net/document/125512/" TargetMode="External" Id="rId3"/><Relationship Type="http://schemas.openxmlformats.org/officeDocument/2006/relationships/hyperlink" Target="https://nederlandco.civicweb.net/document/125911/" TargetMode="External" Id="rId4"/><Relationship Type="http://schemas.openxmlformats.org/officeDocument/2006/relationships/hyperlink" Target="https://nederlandco.civicweb.net/document/126169/" TargetMode="External" Id="rId5"/><Relationship Type="http://schemas.openxmlformats.org/officeDocument/2006/relationships/hyperlink" Target="https://nederlandco.civicweb.net/document/126508/" TargetMode="External" Id="rId6"/><Relationship Type="http://schemas.openxmlformats.org/officeDocument/2006/relationships/hyperlink" Target="https://nederlandco.civicweb.net/document/127156/" TargetMode="External" Id="rId7"/><Relationship Type="http://schemas.openxmlformats.org/officeDocument/2006/relationships/hyperlink" Target="https://nederlandco.civicweb.net/document/127394/" TargetMode="External" Id="rId8"/><Relationship Type="http://schemas.openxmlformats.org/officeDocument/2006/relationships/hyperlink" Target="https://nederlandco.civicweb.net/document/127711/" TargetMode="External" Id="rId9"/><Relationship Type="http://schemas.openxmlformats.org/officeDocument/2006/relationships/hyperlink" Target="https://nederlandco.civicweb.net/document/128049/" TargetMode="External" Id="rId10"/><Relationship Type="http://schemas.openxmlformats.org/officeDocument/2006/relationships/hyperlink" Target="https://nederlandco.civicweb.net/document/128662/" TargetMode="External" Id="rId11"/><Relationship Type="http://schemas.openxmlformats.org/officeDocument/2006/relationships/hyperlink" Target="https://nederlandco.civicweb.net/document/128980/" TargetMode="External" Id="rId12"/><Relationship Type="http://schemas.openxmlformats.org/officeDocument/2006/relationships/hyperlink" Target="https://nederlandco.civicweb.net/document/129316/" TargetMode="External" Id="rId13"/><Relationship Type="http://schemas.openxmlformats.org/officeDocument/2006/relationships/hyperlink" Target="https://nederlandco.civicweb.net/document/129629/" TargetMode="External" Id="rId14"/><Relationship Type="http://schemas.openxmlformats.org/officeDocument/2006/relationships/hyperlink" Target="https://nederlandco.civicweb.net/document/129902/" TargetMode="External" Id="rId15"/><Relationship Type="http://schemas.openxmlformats.org/officeDocument/2006/relationships/hyperlink" Target="https://nederlandco.civicweb.net/document/130036/" TargetMode="External" Id="rId16"/><Relationship Type="http://schemas.openxmlformats.org/officeDocument/2006/relationships/hyperlink" Target="https://nederlandco.civicweb.net/document/130431/" TargetMode="External" Id="rId17"/><Relationship Type="http://schemas.openxmlformats.org/officeDocument/2006/relationships/hyperlink" Target="https://nederlandco.civicweb.net/document/130666/" TargetMode="External" Id="rId18"/><Relationship Type="http://schemas.openxmlformats.org/officeDocument/2006/relationships/hyperlink" Target="https://nederlandco.civicweb.net/document/131332/" TargetMode="External" Id="rId19"/><Relationship Type="http://schemas.openxmlformats.org/officeDocument/2006/relationships/hyperlink" Target="https://nederlandco.civicweb.net/document/132029/" TargetMode="External" Id="rId20"/><Relationship Type="http://schemas.openxmlformats.org/officeDocument/2006/relationships/hyperlink" Target="https://nederlandco.civicweb.net/document/132341/" TargetMode="External" Id="rId21"/><Relationship Type="http://schemas.openxmlformats.org/officeDocument/2006/relationships/hyperlink" Target="https://nederlandco.civicweb.net/document/132740/" TargetMode="External" Id="rId22"/></Relationships>
</file>

<file path=xl/worksheets/_rels/sheet7.xml.rels><Relationships xmlns="http://schemas.openxmlformats.org/package/2006/relationships"><Relationship Type="http://schemas.openxmlformats.org/officeDocument/2006/relationships/hyperlink" Target="https://nederlandco.civicweb.net/document/122625/" TargetMode="External" Id="rId1"/><Relationship Type="http://schemas.openxmlformats.org/officeDocument/2006/relationships/hyperlink" Target="https://nederlandco.civicweb.net/document/128983/" TargetMode="External" Id="rId2"/><Relationship Type="http://schemas.openxmlformats.org/officeDocument/2006/relationships/hyperlink" Target="https://nederlandco.civicweb.net/document/122662/" TargetMode="External" Id="rId3"/><Relationship Type="http://schemas.openxmlformats.org/officeDocument/2006/relationships/hyperlink" Target="https://nederlandco.civicweb.net/document/122661/" TargetMode="External" Id="rId4"/><Relationship Type="http://schemas.openxmlformats.org/officeDocument/2006/relationships/hyperlink" Target="https://nederlandco.civicweb.net/document/123040/" TargetMode="External" Id="rId5"/><Relationship Type="http://schemas.openxmlformats.org/officeDocument/2006/relationships/hyperlink" Target="https://nederlandco.civicweb.net/document/130471/" TargetMode="External" Id="rId6"/></Relationships>
</file>

<file path=xl/worksheets/_rels/sheet8.xml.rels><Relationships xmlns="http://schemas.openxmlformats.org/package/2006/relationships"><Relationship Type="http://schemas.openxmlformats.org/officeDocument/2006/relationships/hyperlink" Target="https://nederlandco.civicweb.net/document/126803/" TargetMode="External" Id="rId1"/><Relationship Type="http://schemas.openxmlformats.org/officeDocument/2006/relationships/hyperlink" Target="https://nederlandco.civicweb.net/document/127180/" TargetMode="External" Id="rId2"/><Relationship Type="http://schemas.openxmlformats.org/officeDocument/2006/relationships/hyperlink" Target="https://nederlandco.civicweb.net/document/123060/" TargetMode="External" Id="rId3"/><Relationship Type="http://schemas.openxmlformats.org/officeDocument/2006/relationships/hyperlink" Target="https://www.nederlandco.gov/m/newsflash/home/detail/21" TargetMode="External" Id="rId4"/><Relationship Type="http://schemas.openxmlformats.org/officeDocument/2006/relationships/hyperlink" Target="https://www.nederlandco.gov/m/newsflash/home/detail/21" TargetMode="External" Id="rId5"/><Relationship Type="http://schemas.openxmlformats.org/officeDocument/2006/relationships/hyperlink" Target="https://nederlandco.civicweb.net/document/130471/" TargetMode="External" Id="rId6"/><Relationship Type="http://schemas.openxmlformats.org/officeDocument/2006/relationships/hyperlink" Target="https://nederlandco.civicweb.net/document/129046/" TargetMode="External" Id="rId7"/><Relationship Type="http://schemas.openxmlformats.org/officeDocument/2006/relationships/hyperlink" Target="https://nederlandco.civicweb.net/document/129045/" TargetMode="External" Id="rId8"/></Relationships>
</file>

<file path=xl/worksheets/_rels/sheet9.xml.rels><Relationships xmlns="http://schemas.openxmlformats.org/package/2006/relationships"><Relationship Type="http://schemas.openxmlformats.org/officeDocument/2006/relationships/hyperlink" Target="https://www.nederlandco.gov/DocumentCenter/View/594/2025-Nederland-Financials-Audit" TargetMode="External" Id="rId1"/><Relationship Type="http://schemas.openxmlformats.org/officeDocument/2006/relationships/hyperlink" Target="https://www.nederlandco.gov/DocumentCenter/View/594/2025-Nederland-Financials-Audit" TargetMode="External" Id="rId2"/><Relationship Type="http://schemas.openxmlformats.org/officeDocument/2006/relationships/hyperlink" Target="https://www.nederlandco.gov/DocumentCenter/View/594/2025-Nederland-Financials-Audit" TargetMode="External" Id="rId3"/><Relationship Type="http://schemas.openxmlformats.org/officeDocument/2006/relationships/hyperlink" Target="https://www.nederlandco.gov/DocumentCenter/View/594/2025-Nederland-Financials-Audit" TargetMode="External" Id="rId4"/><Relationship Type="http://schemas.openxmlformats.org/officeDocument/2006/relationships/hyperlink" Target="https://www.nederlandco.gov/DocumentCenter/View/594/2025-Nederland-Financials-Audit" TargetMode="External" Id="rId5"/><Relationship Type="http://schemas.openxmlformats.org/officeDocument/2006/relationships/hyperlink" Target="https://www.nederlandco.gov/DocumentCenter/View/594/2025-Nederland-Financials-Audit" TargetMode="External" Id="rId6"/><Relationship Type="http://schemas.openxmlformats.org/officeDocument/2006/relationships/hyperlink" Target="https://www.nederlandco.gov/DocumentCenter/View/594/2025-Nederland-Financials-Audit" TargetMode="External" Id="rId7"/><Relationship Type="http://schemas.openxmlformats.org/officeDocument/2006/relationships/hyperlink" Target="https://www.nederlandco.gov/DocumentCenter/View/594/2025-Nederland-Financials-Audit" TargetMode="External" Id="rId8"/><Relationship Type="http://schemas.openxmlformats.org/officeDocument/2006/relationships/hyperlink" Target="https://www.nederlandco.gov/DocumentCenter/View/594/2025-Nederland-Financials-Audit" TargetMode="External" Id="rId9"/><Relationship Type="http://schemas.openxmlformats.org/officeDocument/2006/relationships/hyperlink" Target="https://nederlandco.civicweb.net/document/126178/" TargetMode="External" Id="rId10"/></Relationships>
</file>

<file path=xl/worksheets/_rels/sheet10.xml.rels><Relationships xmlns="http://schemas.openxmlformats.org/package/2006/relationships"><Relationship Type="http://schemas.openxmlformats.org/officeDocument/2006/relationships/hyperlink" Target="https://nederlandco.civicweb.net/document/44830/" TargetMode="External" Id="rId1"/><Relationship Type="http://schemas.openxmlformats.org/officeDocument/2006/relationships/hyperlink" Target="https://nederlandco.civicweb.net/document/119355/" TargetMode="External" Id="rId2"/><Relationship Type="http://schemas.openxmlformats.org/officeDocument/2006/relationships/hyperlink" Target="https://nederlandco.civicweb.net/document/129318/" TargetMode="External" Id="rId3"/><Relationship Type="http://schemas.openxmlformats.org/officeDocument/2006/relationships/hyperlink" Target="https://nederlandco.civicweb.net/document/130735/" TargetMode="External" Id="rId4"/><Relationship Type="http://schemas.openxmlformats.org/officeDocument/2006/relationships/hyperlink" Target="https://nederlandco.civicweb.net/document/122222/" TargetMode="External" Id="rId5"/><Relationship Type="http://schemas.openxmlformats.org/officeDocument/2006/relationships/hyperlink" Target="https://nederlandco.civicweb.net/document/126174/" TargetMode="External" Id="rId6"/><Relationship Type="http://schemas.openxmlformats.org/officeDocument/2006/relationships/hyperlink" Target="https://nederlandco.civicweb.net/document/126178/" TargetMode="External" Id="rId7"/><Relationship Type="http://schemas.openxmlformats.org/officeDocument/2006/relationships/hyperlink" Target="https://nederlandco.civicweb.net/document/116150/" TargetMode="External" Id="rId8"/><Relationship Type="http://schemas.openxmlformats.org/officeDocument/2006/relationships/hyperlink" Target="https://nederlandco.civicweb.net/document/126178/" TargetMode="External" Id="rId9"/></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 t="inlineStr">
        <is>
          <t>Nederland's Eldora acquisition: data</t>
        </is>
      </c>
    </row>
    <row r="2">
      <c r="A2" s="2" t="inlineStr">
        <is>
          <t>From https://eldorarecord.org/, an independent compilation of Town of Nederland public records. Not affiliated with the Town of Nederland, POWDR, or Eldora Mountain Resort.</t>
        </is>
      </c>
    </row>
    <row r="3">
      <c r="A3" s="2" t="inlineStr">
        <is>
          <t>Payments through the Oct. 20, 2026, warrant list.</t>
        </is>
      </c>
    </row>
    <row r="4">
      <c r="A4" s="2" t="inlineStr"/>
    </row>
    <row r="5">
      <c r="A5" s="3" t="inlineStr">
        <is>
          <t>Sheets</t>
        </is>
      </c>
    </row>
    <row r="6">
      <c r="A6" s="2" t="inlineStr">
        <is>
          <t>Summary: the headline figures on the page, with how each is calculated.</t>
        </is>
      </c>
    </row>
    <row r="7">
      <c r="A7" s="2" t="inlineStr">
        <is>
          <t>Payments: every invoice charged to General Fund account 10-00-1150, "Due From" (the account used for Eldora acquisition costs), plus the amounts the Town's ledger shows were added to the account between warrant lists.</t>
        </is>
      </c>
    </row>
    <row r="8">
      <c r="A8" s="2" t="inlineStr">
        <is>
          <t>Off-list postings: amounts added to the account balance between warrant lists, with what the Town's ledger for the account says about each.</t>
        </is>
      </c>
    </row>
    <row r="9">
      <c r="A9" s="2" t="inlineStr">
        <is>
          <t>Running balance: the account balance after each warrant list the Board approved.</t>
        </is>
      </c>
    </row>
    <row r="10">
      <c r="A10" s="2" t="inlineStr">
        <is>
          <t>Payees: totals by payee, with the evidence rating used on the page.</t>
        </is>
      </c>
    </row>
    <row r="11">
      <c r="A11" s="2" t="inlineStr">
        <is>
          <t>Estimates vs paid: what the Board was told an engagement would cost, and what was paid.</t>
        </is>
      </c>
    </row>
    <row r="12">
      <c r="A12" s="2" t="inlineStr">
        <is>
          <t>Commitments: amounts committed or authorized, and their status.</t>
        </is>
      </c>
    </row>
    <row r="13">
      <c r="A13" s="2" t="inlineStr">
        <is>
          <t>CSAFE and funds: who owns the pooled cash and investments the Town says would pay the costs.</t>
        </is>
      </c>
    </row>
    <row r="14">
      <c r="A14" s="2" t="inlineStr">
        <is>
          <t>For scale: Town budgets and other recent discretionary spending.</t>
        </is>
      </c>
    </row>
    <row r="15">
      <c r="A15" s="2" t="inlineStr">
        <is>
          <t>Board votes: every Board action on the acquisition, from the adopted minutes.</t>
        </is>
      </c>
    </row>
    <row r="16">
      <c r="A16" s="2" t="inlineStr"/>
    </row>
    <row r="17">
      <c r="A17" s="3" t="inlineStr">
        <is>
          <t>Notes</t>
        </is>
      </c>
    </row>
    <row r="18">
      <c r="A18" s="2" t="inlineStr">
        <is>
          <t>Amounts keep cents, as in the warrant lists. The page rounds to whole dollars, so a total here can differ from the page by a dollar.</t>
        </is>
      </c>
    </row>
    <row r="19">
      <c r="A19" s="2" t="inlineStr">
        <is>
          <t>Totals and differences are formulas, so you can check them. Your spreadsheet program calculates them when the file is opened.</t>
        </is>
      </c>
    </row>
    <row r="20">
      <c r="A20" s="2" t="inlineStr">
        <is>
          <t>Evidence ratings: "Named in Board documents" means a resolution, staff memo, or the purchase agreement states the firm's role in the Eldora acquisition. "Account coding only" means a regular Town vendor whose other work is billed to normal budget lines, so only the account links these charges to Eldora. "No other record" means the payee appears in no Board document searched except the warrant lists.</t>
        </is>
      </c>
    </row>
    <row r="21">
      <c r="A21" s="2" t="inlineStr">
        <is>
          <t>The Payments sheet gives the days from each invoice date to the warrant list that paid it; the typical gap is about 33 days.</t>
        </is>
      </c>
    </row>
    <row r="22">
      <c r="A22" s="2" t="inlineStr">
        <is>
          <t>Statements that something isn't in the records refer only to the records searched for the page; it may be documented elsewhere, including in earlier records.</t>
        </is>
      </c>
    </row>
    <row r="23">
      <c r="A23" s="2" t="inlineStr">
        <is>
          <t>Sources: Board packets and minutes on the Town CivicWeb portal, the Town website (FAQs, updates, audits), the Town's ledger for account 10-00-1150 released in its Sept. 25, 2026, response to a public records request (https://eldorarecord.org/records/2026-09-25-eldora-reimbursable-expenses.xls), and state statutes. Each row links to its source.</t>
        </is>
      </c>
    </row>
    <row r="24">
      <c r="A24" s="2" t="inlineStr">
        <is>
          <t>An invoice sometimes reaches the account balance one list before it appears on a warrant list (for example, Widner Juran invoice 46.0322, $16,985). Those timing differences net to zero and are not counted as off-list postings.</t>
        </is>
      </c>
    </row>
    <row r="25">
      <c r="A25" s="2" t="inlineStr">
        <is>
          <t>Corrections: corrections@eldorarecord.org</t>
        </is>
      </c>
    </row>
  </sheetData>
  <hyperlinks>
    <hyperlink xmlns:r="http://schemas.openxmlformats.org/officeDocument/2006/relationships" ref="A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80" customWidth="1" min="3" max="3"/>
    <col width="40" customWidth="1" min="4" max="4"/>
  </cols>
  <sheetData>
    <row r="1">
      <c r="A1" s="4" t="inlineStr">
        <is>
          <t>Figure</t>
        </is>
      </c>
      <c r="B1" s="4" t="inlineStr">
        <is>
          <t>Amount</t>
        </is>
      </c>
      <c r="C1" s="4" t="inlineStr">
        <is>
          <t>How it is calculated</t>
        </is>
      </c>
      <c r="D1" s="4" t="inlineStr">
        <is>
          <t>Source</t>
        </is>
      </c>
    </row>
    <row r="2">
      <c r="A2" s="5" t="inlineStr">
        <is>
          <t>Paid through warrant lists</t>
        </is>
      </c>
      <c r="B2" s="6">
        <f>SUMIF(Payments!$G$2:$G$77,"Yes",Payments!$F$2:$F$77)</f>
        <v/>
      </c>
      <c r="C2" s="5" t="inlineStr">
        <is>
          <t>Sum of the invoices on Board-approved warrant lists (Payments, On warrant list = Yes).</t>
        </is>
      </c>
      <c r="D2" s="5" t="inlineStr">
        <is>
          <t>Payments</t>
        </is>
      </c>
    </row>
    <row r="3">
      <c r="A3" s="5" t="inlineStr">
        <is>
          <t>Posted between warrant lists</t>
        </is>
      </c>
      <c r="B3" s="6">
        <f>SUM('Off-list postings'!C2:C11)</f>
        <v/>
      </c>
      <c r="C3" s="5" t="inlineStr">
        <is>
          <t>Amounts added to the account between warrant lists (Town ledger).</t>
        </is>
      </c>
      <c r="D3" s="5" t="inlineStr">
        <is>
          <t>Off-list postings</t>
        </is>
      </c>
    </row>
    <row r="4">
      <c r="A4" s="7" t="inlineStr">
        <is>
          <t>Already paid</t>
        </is>
      </c>
      <c r="B4" s="8">
        <f>B2+B3</f>
        <v/>
      </c>
      <c r="C4" s="5" t="inlineStr">
        <is>
          <t>Charged to the account through the Oct. 20, 2026, warrant list. Should equal the last running balance (next row).</t>
        </is>
      </c>
      <c r="D4" s="5" t="inlineStr">
        <is>
          <t>Payments, Off-list postings</t>
        </is>
      </c>
    </row>
    <row r="5">
      <c r="A5" s="5" t="inlineStr">
        <is>
          <t>Check: last running balance</t>
        </is>
      </c>
      <c r="B5" s="6">
        <f>'Running balance'!B23</f>
        <v/>
      </c>
      <c r="C5" s="5" t="inlineStr">
        <is>
          <t>The account balance on the latest warrant list.</t>
        </is>
      </c>
      <c r="D5" s="5" t="inlineStr">
        <is>
          <t>Running balance</t>
        </is>
      </c>
    </row>
    <row r="6">
      <c r="A6" s="5" t="inlineStr">
        <is>
          <t>Town's estimate if the sale fails</t>
        </is>
      </c>
      <c r="B6" s="6" t="n">
        <v>2500000</v>
      </c>
      <c r="C6" s="5" t="inlineStr">
        <is>
          <t>Transaction costs the Town says it would owe, paid from CSAFE investments (Sept. 30, 2026, update).</t>
        </is>
      </c>
      <c r="D6" s="5" t="inlineStr">
        <is>
          <t>https://www.nederlandco.gov/m/newsflash/home/detail/21</t>
        </is>
      </c>
    </row>
    <row r="7">
      <c r="A7" s="5" t="inlineStr">
        <is>
          <t>Owed, confirmed by firms as of Oct. 16, 2026</t>
        </is>
      </c>
      <c r="B7" s="6" t="n">
        <v>1673621.16</v>
      </c>
      <c r="C7" s="5" t="inlineStr">
        <is>
          <t>Unpaid invoices and unbilled work the firms confirmed to the Town, released Oct. 29, 2026, in response to a public records request. Firms that sent no confirmation are not included.</t>
        </is>
      </c>
      <c r="D7" s="5" t="inlineStr">
        <is>
          <t>https://eldorarecord.org/records/2026-10-29-town-cora-response.txt</t>
        </is>
      </c>
    </row>
    <row r="8">
      <c r="A8" s="5" t="inlineStr">
        <is>
          <t>Itemized total if the sale fails</t>
        </is>
      </c>
      <c r="B8" s="6">
        <f>B4+B7</f>
        <v/>
      </c>
      <c r="C8" s="5" t="inlineStr">
        <is>
          <t>Already paid plus confirmed owed. The page's calculations use this figure in place of the Town's unitemized estimate.</t>
        </is>
      </c>
      <c r="D8" s="5" t="inlineStr"/>
    </row>
    <row r="9">
      <c r="A9" s="5" t="inlineStr">
        <is>
          <t>Paid to POWDR (the seller)</t>
        </is>
      </c>
      <c r="B9" s="6">
        <f>SUMIF(Payments!$B$2:$B$77,"POWDR Corp",Payments!$F$2:$F$77)</f>
        <v/>
      </c>
      <c r="C9" s="5" t="inlineStr">
        <is>
          <t>Invoices on warrant lists.</t>
        </is>
      </c>
      <c r="D9" s="5" t="inlineStr">
        <is>
          <t>Payments</t>
        </is>
      </c>
    </row>
    <row r="10">
      <c r="A10" s="5" t="inlineStr">
        <is>
          <t>Check: total by payee</t>
        </is>
      </c>
      <c r="B10" s="6">
        <f>Payees!C20</f>
        <v/>
      </c>
      <c r="C10" s="5" t="inlineStr">
        <is>
          <t>Should equal Already paid.</t>
        </is>
      </c>
      <c r="D10" s="5" t="inlineStr">
        <is>
          <t>Payees</t>
        </is>
      </c>
    </row>
  </sheetData>
  <autoFilter ref="A1:D1"/>
  <hyperlinks>
    <hyperlink xmlns:r="http://schemas.openxmlformats.org/officeDocument/2006/relationships" ref="D6" r:id="rId1"/>
    <hyperlink xmlns:r="http://schemas.openxmlformats.org/officeDocument/2006/relationships" ref="D7"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7"/>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26" customWidth="1" min="3" max="3"/>
    <col width="14" customWidth="1" min="4" max="4"/>
    <col width="12" customWidth="1" min="5" max="5"/>
    <col width="14" customWidth="1" min="6" max="6"/>
    <col width="10" customWidth="1" min="7" max="7"/>
    <col width="12" customWidth="1" min="8" max="8"/>
    <col width="22" customWidth="1" min="9" max="9"/>
    <col width="34" customWidth="1" min="10" max="10"/>
    <col width="30" customWidth="1" min="11" max="11"/>
    <col width="48" customWidth="1" min="12" max="12"/>
  </cols>
  <sheetData>
    <row r="1">
      <c r="A1" s="4" t="inlineStr">
        <is>
          <t>Warrant list date</t>
        </is>
      </c>
      <c r="B1" s="4" t="inlineStr">
        <is>
          <t>Payee (as listed)</t>
        </is>
      </c>
      <c r="C1" s="4" t="inlineStr">
        <is>
          <t>Payee</t>
        </is>
      </c>
      <c r="D1" s="4" t="inlineStr">
        <is>
          <t>Invoice</t>
        </is>
      </c>
      <c r="E1" s="4" t="inlineStr">
        <is>
          <t>Invoice date</t>
        </is>
      </c>
      <c r="F1" s="4" t="inlineStr">
        <is>
          <t>Amount</t>
        </is>
      </c>
      <c r="G1" s="4" t="inlineStr">
        <is>
          <t>On warrant list</t>
        </is>
      </c>
      <c r="H1" s="4" t="inlineStr">
        <is>
          <t>Days from invoice to warrant list</t>
        </is>
      </c>
      <c r="I1" s="4" t="inlineStr">
        <is>
          <t>Evidence rating</t>
        </is>
      </c>
      <c r="J1" s="4" t="inlineStr">
        <is>
          <t>Source</t>
        </is>
      </c>
      <c r="K1" s="4" t="inlineStr">
        <is>
          <t>Source URL</t>
        </is>
      </c>
    </row>
    <row r="2">
      <c r="A2" s="9" t="n">
        <v>45937</v>
      </c>
      <c r="B2" s="10" t="inlineStr">
        <is>
          <t>JVA</t>
        </is>
      </c>
      <c r="C2" s="10" t="inlineStr">
        <is>
          <t>JVA</t>
        </is>
      </c>
      <c r="D2" s="10" t="inlineStr">
        <is>
          <t>25772</t>
        </is>
      </c>
      <c r="E2" s="9" t="n">
        <v>45900</v>
      </c>
      <c r="F2" s="11" t="n">
        <v>7547.4</v>
      </c>
      <c r="G2" s="10" t="inlineStr">
        <is>
          <t>Yes</t>
        </is>
      </c>
      <c r="H2" s="10" t="n">
        <v>37</v>
      </c>
      <c r="I2" s="10" t="inlineStr">
        <is>
          <t>Account coding only</t>
        </is>
      </c>
      <c r="J2" s="12" t="inlineStr">
        <is>
          <t>Warrant list p. 10</t>
        </is>
      </c>
      <c r="K2" s="10" t="inlineStr">
        <is>
          <t>https://nederlandco.civicweb.net/document/124842/</t>
        </is>
      </c>
    </row>
    <row r="3">
      <c r="A3" s="9" t="n">
        <v>45937</v>
      </c>
      <c r="B3" s="10" t="inlineStr">
        <is>
          <t>Widner Juran LLP</t>
        </is>
      </c>
      <c r="C3" s="10" t="inlineStr">
        <is>
          <t>Widner Juran LLP</t>
        </is>
      </c>
      <c r="D3" s="10" t="inlineStr">
        <is>
          <t>46.0309</t>
        </is>
      </c>
      <c r="E3" s="9" t="n">
        <v>45900</v>
      </c>
      <c r="F3" s="11" t="n">
        <v>29508.5</v>
      </c>
      <c r="G3" s="10" t="inlineStr">
        <is>
          <t>Yes</t>
        </is>
      </c>
      <c r="H3" s="10" t="n">
        <v>37</v>
      </c>
      <c r="I3" s="10" t="inlineStr">
        <is>
          <t>Account coding only</t>
        </is>
      </c>
      <c r="J3" s="12" t="inlineStr">
        <is>
          <t>Warrant list p. 11</t>
        </is>
      </c>
      <c r="K3" s="10" t="inlineStr">
        <is>
          <t>https://nederlandco.civicweb.net/document/124842/</t>
        </is>
      </c>
    </row>
    <row r="4">
      <c r="A4" s="9" t="n">
        <v>45937</v>
      </c>
      <c r="B4" s="10" t="inlineStr">
        <is>
          <t>DiNatale Water Consultants</t>
        </is>
      </c>
      <c r="C4" s="10" t="inlineStr">
        <is>
          <t>DiNatale Water Consultants</t>
        </is>
      </c>
      <c r="D4" s="10" t="inlineStr">
        <is>
          <t>4884</t>
        </is>
      </c>
      <c r="E4" s="9" t="n">
        <v>45900</v>
      </c>
      <c r="F4" s="11" t="n">
        <v>9782.4</v>
      </c>
      <c r="G4" s="10" t="inlineStr">
        <is>
          <t>Yes</t>
        </is>
      </c>
      <c r="H4" s="10" t="n">
        <v>37</v>
      </c>
      <c r="I4" s="10" t="inlineStr">
        <is>
          <t>Account coding only</t>
        </is>
      </c>
      <c r="J4" s="12" t="inlineStr">
        <is>
          <t>Warrant list p. 12</t>
        </is>
      </c>
      <c r="K4" s="10" t="inlineStr">
        <is>
          <t>https://nederlandco.civicweb.net/document/124842/</t>
        </is>
      </c>
    </row>
    <row r="5">
      <c r="A5" s="9" t="n">
        <v>45937</v>
      </c>
      <c r="B5" s="10" t="inlineStr">
        <is>
          <t>Sno.engineering</t>
        </is>
      </c>
      <c r="C5" s="10" t="inlineStr">
        <is>
          <t>SE Group</t>
        </is>
      </c>
      <c r="D5" s="10" t="inlineStr">
        <is>
          <t>6443</t>
        </is>
      </c>
      <c r="E5" s="9" t="n">
        <v>45904</v>
      </c>
      <c r="F5" s="11" t="n">
        <v>20653.74</v>
      </c>
      <c r="G5" s="10" t="inlineStr">
        <is>
          <t>Yes</t>
        </is>
      </c>
      <c r="H5" s="10" t="n">
        <v>33</v>
      </c>
      <c r="I5" s="10" t="inlineStr">
        <is>
          <t>Named in Board documents</t>
        </is>
      </c>
      <c r="J5" s="12" t="inlineStr">
        <is>
          <t>Warrant list p. 12</t>
        </is>
      </c>
      <c r="K5" s="10" t="inlineStr">
        <is>
          <t>https://nederlandco.civicweb.net/document/124842/</t>
        </is>
      </c>
    </row>
    <row r="6">
      <c r="A6" s="9" t="n">
        <v>45951</v>
      </c>
      <c r="B6" s="10" t="inlineStr">
        <is>
          <t>Widner Juran LLP</t>
        </is>
      </c>
      <c r="C6" s="10" t="inlineStr">
        <is>
          <t>Widner Juran LLP</t>
        </is>
      </c>
      <c r="D6" s="10" t="inlineStr">
        <is>
          <t>46.0313</t>
        </is>
      </c>
      <c r="E6" s="9" t="n">
        <v>45930</v>
      </c>
      <c r="F6" s="11" t="n">
        <v>27816</v>
      </c>
      <c r="G6" s="10" t="inlineStr">
        <is>
          <t>Yes</t>
        </is>
      </c>
      <c r="H6" s="10" t="n">
        <v>21</v>
      </c>
      <c r="I6" s="10" t="inlineStr">
        <is>
          <t>Account coding only</t>
        </is>
      </c>
      <c r="J6" s="12" t="inlineStr">
        <is>
          <t>Warrant list p. 2</t>
        </is>
      </c>
      <c r="K6" s="10" t="inlineStr">
        <is>
          <t>https://nederlandco.civicweb.net/document/125193/</t>
        </is>
      </c>
    </row>
    <row r="7">
      <c r="A7" s="9" t="n">
        <v>45951</v>
      </c>
      <c r="B7" s="10" t="inlineStr">
        <is>
          <t>DiNatale Water Consultants</t>
        </is>
      </c>
      <c r="C7" s="10" t="inlineStr">
        <is>
          <t>DiNatale Water Consultants</t>
        </is>
      </c>
      <c r="D7" s="10" t="inlineStr">
        <is>
          <t>4924</t>
        </is>
      </c>
      <c r="E7" s="9" t="n">
        <v>45930</v>
      </c>
      <c r="F7" s="11" t="n">
        <v>7965</v>
      </c>
      <c r="G7" s="10" t="inlineStr">
        <is>
          <t>Yes</t>
        </is>
      </c>
      <c r="H7" s="10" t="n">
        <v>21</v>
      </c>
      <c r="I7" s="10" t="inlineStr">
        <is>
          <t>Account coding only</t>
        </is>
      </c>
      <c r="J7" s="12" t="inlineStr">
        <is>
          <t>Warrant list p. 3</t>
        </is>
      </c>
      <c r="K7" s="10" t="inlineStr">
        <is>
          <t>https://nederlandco.civicweb.net/document/125193/</t>
        </is>
      </c>
    </row>
    <row r="8">
      <c r="A8" s="9" t="n">
        <v>45951</v>
      </c>
      <c r="B8" s="10" t="inlineStr">
        <is>
          <t>Sno.engineering</t>
        </is>
      </c>
      <c r="C8" s="10" t="inlineStr">
        <is>
          <t>SE Group</t>
        </is>
      </c>
      <c r="D8" s="10" t="inlineStr">
        <is>
          <t>6539</t>
        </is>
      </c>
      <c r="E8" s="9" t="n">
        <v>45931</v>
      </c>
      <c r="F8" s="11" t="n">
        <v>23388</v>
      </c>
      <c r="G8" s="10" t="inlineStr">
        <is>
          <t>Yes</t>
        </is>
      </c>
      <c r="H8" s="10" t="n">
        <v>20</v>
      </c>
      <c r="I8" s="10" t="inlineStr">
        <is>
          <t>Named in Board documents</t>
        </is>
      </c>
      <c r="J8" s="12" t="inlineStr">
        <is>
          <t>Warrant list p. 3</t>
        </is>
      </c>
      <c r="K8" s="10" t="inlineStr">
        <is>
          <t>https://nederlandco.civicweb.net/document/125193/</t>
        </is>
      </c>
    </row>
    <row r="9">
      <c r="A9" s="9" t="n">
        <v>45951</v>
      </c>
      <c r="B9" s="10" t="inlineStr">
        <is>
          <t>Dickinson Wright PLLC</t>
        </is>
      </c>
      <c r="C9" s="10" t="inlineStr">
        <is>
          <t>Dickinson Wright</t>
        </is>
      </c>
      <c r="D9" s="10" t="inlineStr">
        <is>
          <t>2080024</t>
        </is>
      </c>
      <c r="E9" s="9" t="n">
        <v>45923</v>
      </c>
      <c r="F9" s="11" t="n">
        <v>40469.18</v>
      </c>
      <c r="G9" s="10" t="inlineStr">
        <is>
          <t>Yes</t>
        </is>
      </c>
      <c r="H9" s="10" t="n">
        <v>28</v>
      </c>
      <c r="I9" s="10" t="inlineStr">
        <is>
          <t>Named in Board documents</t>
        </is>
      </c>
      <c r="J9" s="12" t="inlineStr">
        <is>
          <t>Warrant list p. 3</t>
        </is>
      </c>
      <c r="K9" s="10" t="inlineStr">
        <is>
          <t>https://nederlandco.civicweb.net/document/125193/</t>
        </is>
      </c>
    </row>
    <row r="10">
      <c r="A10" s="9" t="n">
        <v>45966</v>
      </c>
      <c r="B10" s="10" t="inlineStr">
        <is>
          <t>JVA</t>
        </is>
      </c>
      <c r="C10" s="10" t="inlineStr">
        <is>
          <t>JVA</t>
        </is>
      </c>
      <c r="D10" s="10" t="inlineStr">
        <is>
          <t>26304</t>
        </is>
      </c>
      <c r="E10" s="9" t="n">
        <v>45930</v>
      </c>
      <c r="F10" s="11" t="n">
        <v>13191.3</v>
      </c>
      <c r="G10" s="10" t="inlineStr">
        <is>
          <t>Yes</t>
        </is>
      </c>
      <c r="H10" s="10" t="n">
        <v>36</v>
      </c>
      <c r="I10" s="10" t="inlineStr">
        <is>
          <t>Account coding only</t>
        </is>
      </c>
      <c r="J10" s="12" t="inlineStr">
        <is>
          <t>Warrant list p. 1</t>
        </is>
      </c>
      <c r="K10" s="10" t="inlineStr">
        <is>
          <t>https://nederlandco.civicweb.net/document/125512/</t>
        </is>
      </c>
    </row>
    <row r="11">
      <c r="A11" s="9" t="n"/>
      <c r="B11" s="10" t="inlineStr">
        <is>
          <t>Widner Juran LLP</t>
        </is>
      </c>
      <c r="C11" s="10" t="inlineStr">
        <is>
          <t>Widner Juran LLP</t>
        </is>
      </c>
      <c r="D11" s="10" t="inlineStr">
        <is>
          <t>46.0292</t>
        </is>
      </c>
      <c r="E11" s="9" t="n">
        <v>45688</v>
      </c>
      <c r="F11" s="11" t="n">
        <v>6440</v>
      </c>
      <c r="G11" s="10" t="inlineStr">
        <is>
          <t>No</t>
        </is>
      </c>
      <c r="H11" s="10" t="n"/>
      <c r="I11" s="10" t="inlineStr">
        <is>
          <t>Account coding only</t>
        </is>
      </c>
      <c r="J11" s="12" t="inlineStr">
        <is>
          <t>Moved into this account from Legal (10-12-5100) by a Town ledger entry dated Sept 30, 2025; first paid on the Feb. 18, 2025, warrant list, p. 6 (https://nederlandco.civicweb.net/document/119043/); first in the account balance on the Nov. 5, 2025, warrant list</t>
        </is>
      </c>
      <c r="K11" s="10" t="inlineStr">
        <is>
          <t>https://eldorarecord.org/records/2026-09-25-eldora-reimbursable-expenses.xls</t>
        </is>
      </c>
    </row>
    <row r="12">
      <c r="A12" s="9" t="n"/>
      <c r="B12" s="10" t="inlineStr">
        <is>
          <t>Widner Juran LLP</t>
        </is>
      </c>
      <c r="C12" s="10" t="inlineStr">
        <is>
          <t>Widner Juran LLP</t>
        </is>
      </c>
      <c r="D12" s="10" t="inlineStr">
        <is>
          <t>46.0294</t>
        </is>
      </c>
      <c r="E12" s="9" t="n">
        <v>45716</v>
      </c>
      <c r="F12" s="11" t="n">
        <v>1505</v>
      </c>
      <c r="G12" s="10" t="inlineStr">
        <is>
          <t>No</t>
        </is>
      </c>
      <c r="H12" s="10" t="n"/>
      <c r="I12" s="10" t="inlineStr">
        <is>
          <t>Account coding only</t>
        </is>
      </c>
      <c r="J12" s="12" t="inlineStr">
        <is>
          <t>Moved into this account from Legal (10-12-5100) by a Town ledger entry dated Sept 30, 2025; first paid on the April 15, 2025, warrant list, p. 1 (https://nederlandco.civicweb.net/document/120586/); first in the account balance on the Nov. 5, 2025, warrant list</t>
        </is>
      </c>
      <c r="K12" s="10" t="inlineStr">
        <is>
          <t>https://eldorarecord.org/records/2026-09-25-eldora-reimbursable-expenses.xls</t>
        </is>
      </c>
    </row>
    <row r="13">
      <c r="A13" s="9" t="n"/>
      <c r="B13" s="10" t="inlineStr">
        <is>
          <t>Widner Juran LLP</t>
        </is>
      </c>
      <c r="C13" s="10" t="inlineStr">
        <is>
          <t>Widner Juran LLP</t>
        </is>
      </c>
      <c r="D13" s="10" t="inlineStr">
        <is>
          <t>46.0297</t>
        </is>
      </c>
      <c r="E13" s="9" t="n">
        <v>45747</v>
      </c>
      <c r="F13" s="11" t="n">
        <v>1295</v>
      </c>
      <c r="G13" s="10" t="inlineStr">
        <is>
          <t>No</t>
        </is>
      </c>
      <c r="H13" s="10" t="n"/>
      <c r="I13" s="10" t="inlineStr">
        <is>
          <t>Account coding only</t>
        </is>
      </c>
      <c r="J13" s="12" t="inlineStr">
        <is>
          <t>Moved into this account from Legal (10-12-5100) by a Town ledger entry dated Sept 30, 2025; first paid on the May 6, 2025, warrant list, p. 2 (https://nederlandco.civicweb.net/document/120975/); first in the account balance on the Nov. 5, 2025, warrant list</t>
        </is>
      </c>
      <c r="K13" s="10" t="inlineStr">
        <is>
          <t>https://eldorarecord.org/records/2026-09-25-eldora-reimbursable-expenses.xls</t>
        </is>
      </c>
    </row>
    <row r="14">
      <c r="A14" s="9" t="n"/>
      <c r="B14" s="10" t="inlineStr">
        <is>
          <t>Widner Juran LLP</t>
        </is>
      </c>
      <c r="C14" s="10" t="inlineStr">
        <is>
          <t>Widner Juran LLP</t>
        </is>
      </c>
      <c r="D14" s="10" t="inlineStr">
        <is>
          <t>46.0301</t>
        </is>
      </c>
      <c r="E14" s="9" t="n">
        <v>45777</v>
      </c>
      <c r="F14" s="11" t="n">
        <v>2747.5</v>
      </c>
      <c r="G14" s="10" t="inlineStr">
        <is>
          <t>No</t>
        </is>
      </c>
      <c r="H14" s="10" t="n"/>
      <c r="I14" s="10" t="inlineStr">
        <is>
          <t>Account coding only</t>
        </is>
      </c>
      <c r="J14" s="12" t="inlineStr">
        <is>
          <t>Moved into this account from Legal (10-12-5100) by a Town ledger entry dated Sept 30, 2025; first paid on the May 20, 2025, warrant list, p. 2 (https://nederlandco.civicweb.net/document/121504/); first in the account balance on the Nov. 5, 2025, warrant list</t>
        </is>
      </c>
      <c r="K14" s="10" t="inlineStr">
        <is>
          <t>https://eldorarecord.org/records/2026-09-25-eldora-reimbursable-expenses.xls</t>
        </is>
      </c>
    </row>
    <row r="15">
      <c r="A15" s="9" t="n"/>
      <c r="B15" s="10" t="inlineStr">
        <is>
          <t>Widner Juran LLP</t>
        </is>
      </c>
      <c r="C15" s="10" t="inlineStr">
        <is>
          <t>Widner Juran LLP</t>
        </is>
      </c>
      <c r="D15" s="10" t="inlineStr">
        <is>
          <t>46.0303</t>
        </is>
      </c>
      <c r="E15" s="9" t="n">
        <v>45808</v>
      </c>
      <c r="F15" s="11" t="n">
        <v>9954</v>
      </c>
      <c r="G15" s="10" t="inlineStr">
        <is>
          <t>No</t>
        </is>
      </c>
      <c r="H15" s="10" t="n"/>
      <c r="I15" s="10" t="inlineStr">
        <is>
          <t>Account coding only</t>
        </is>
      </c>
      <c r="J15" s="12" t="inlineStr">
        <is>
          <t>Moved into this account from Legal (10-12-5100) by a Town ledger entry dated Sept 30, 2025; first paid on the June 17, 2025, warrant list, p. 2 (https://nederlandco.civicweb.net/document/122041/); first in the account balance on the Nov. 5, 2025, warrant list</t>
        </is>
      </c>
      <c r="K15" s="10" t="inlineStr">
        <is>
          <t>https://eldorarecord.org/records/2026-09-25-eldora-reimbursable-expenses.xls</t>
        </is>
      </c>
    </row>
    <row r="16">
      <c r="A16" s="9" t="n"/>
      <c r="B16" s="10" t="inlineStr">
        <is>
          <t>Widner Juran LLP</t>
        </is>
      </c>
      <c r="C16" s="10" t="inlineStr">
        <is>
          <t>Widner Juran LLP</t>
        </is>
      </c>
      <c r="D16" s="10" t="inlineStr">
        <is>
          <t>46.0304</t>
        </is>
      </c>
      <c r="E16" s="9" t="n">
        <v>45838</v>
      </c>
      <c r="F16" s="11" t="n">
        <v>5162.5</v>
      </c>
      <c r="G16" s="10" t="inlineStr">
        <is>
          <t>No</t>
        </is>
      </c>
      <c r="H16" s="10" t="n"/>
      <c r="I16" s="10" t="inlineStr">
        <is>
          <t>Account coding only</t>
        </is>
      </c>
      <c r="J16" s="12" t="inlineStr">
        <is>
          <t>Moved into this account from Legal (10-12-5100) by a Town ledger entry dated Sept 30, 2025; first paid on the Aug. 5, 2025, warrant list, p. 2 (https://nederlandco.civicweb.net/document/123021/); first in the account balance on the Nov. 5, 2025, warrant list</t>
        </is>
      </c>
      <c r="K16" s="10" t="inlineStr">
        <is>
          <t>https://eldorarecord.org/records/2026-09-25-eldora-reimbursable-expenses.xls</t>
        </is>
      </c>
    </row>
    <row r="17">
      <c r="A17" s="9" t="n"/>
      <c r="B17" s="10" t="inlineStr">
        <is>
          <t>Widner Juran LLP</t>
        </is>
      </c>
      <c r="C17" s="10" t="inlineStr">
        <is>
          <t>Widner Juran LLP</t>
        </is>
      </c>
      <c r="D17" s="10" t="inlineStr">
        <is>
          <t>46.0307</t>
        </is>
      </c>
      <c r="E17" s="9" t="n">
        <v>45869</v>
      </c>
      <c r="F17" s="11" t="n">
        <v>19106.5</v>
      </c>
      <c r="G17" s="10" t="inlineStr">
        <is>
          <t>No</t>
        </is>
      </c>
      <c r="H17" s="10" t="n"/>
      <c r="I17" s="10" t="inlineStr">
        <is>
          <t>Account coding only</t>
        </is>
      </c>
      <c r="J17" s="12" t="inlineStr">
        <is>
          <t>Moved into this account from Legal (10-12-5100) by a Town ledger entry dated Sept 30, 2025; first paid on the Sept. 2, 2025, warrant list, p. 2 (https://nederlandco.civicweb.net/document/123789/); first in the account balance on the Nov. 5, 2025, warrant list</t>
        </is>
      </c>
      <c r="K17" s="10" t="inlineStr">
        <is>
          <t>https://eldorarecord.org/records/2026-09-25-eldora-reimbursable-expenses.xls</t>
        </is>
      </c>
    </row>
    <row r="18">
      <c r="A18" s="9" t="n"/>
      <c r="B18" s="10" t="inlineStr">
        <is>
          <t>Dickinson Wright PLLC</t>
        </is>
      </c>
      <c r="C18" s="10" t="inlineStr">
        <is>
          <t>Dickinson Wright</t>
        </is>
      </c>
      <c r="D18" s="10" t="inlineStr">
        <is>
          <t>2070334</t>
        </is>
      </c>
      <c r="E18" s="9" t="n">
        <v>45889</v>
      </c>
      <c r="F18" s="11" t="n">
        <v>9680</v>
      </c>
      <c r="G18" s="10" t="inlineStr">
        <is>
          <t>No</t>
        </is>
      </c>
      <c r="H18" s="10" t="n"/>
      <c r="I18" s="10" t="inlineStr">
        <is>
          <t>Named in Board documents</t>
        </is>
      </c>
      <c r="J18" s="12" t="inlineStr">
        <is>
          <t>Moved into this account from Legal (10-12-5100) by a Town ledger entry dated Sept 30, 2025; first paid on the Oct. 7, 2025, warrant list, p. 3 (https://nederlandco.civicweb.net/document/124842/); first in the account balance on the Nov. 5, 2025, warrant list</t>
        </is>
      </c>
      <c r="K18" s="10" t="inlineStr">
        <is>
          <t>https://eldorarecord.org/records/2026-09-25-eldora-reimbursable-expenses.xls</t>
        </is>
      </c>
    </row>
    <row r="19">
      <c r="A19" s="9" t="n">
        <v>45979</v>
      </c>
      <c r="B19" s="10" t="inlineStr">
        <is>
          <t>JVA</t>
        </is>
      </c>
      <c r="C19" s="10" t="inlineStr">
        <is>
          <t>JVA</t>
        </is>
      </c>
      <c r="D19" s="10" t="inlineStr">
        <is>
          <t>26812</t>
        </is>
      </c>
      <c r="E19" s="9" t="n">
        <v>45961</v>
      </c>
      <c r="F19" s="11" t="n">
        <v>1811.7</v>
      </c>
      <c r="G19" s="10" t="inlineStr">
        <is>
          <t>Yes</t>
        </is>
      </c>
      <c r="H19" s="10" t="n">
        <v>18</v>
      </c>
      <c r="I19" s="10" t="inlineStr">
        <is>
          <t>Account coding only</t>
        </is>
      </c>
      <c r="J19" s="12" t="inlineStr">
        <is>
          <t>Warrant list p. 2</t>
        </is>
      </c>
      <c r="K19" s="10" t="inlineStr">
        <is>
          <t>https://nederlandco.civicweb.net/document/125911/</t>
        </is>
      </c>
    </row>
    <row r="20">
      <c r="A20" s="9" t="n">
        <v>45979</v>
      </c>
      <c r="B20" s="10" t="inlineStr">
        <is>
          <t>Sno.engineering</t>
        </is>
      </c>
      <c r="C20" s="10" t="inlineStr">
        <is>
          <t>SE Group</t>
        </is>
      </c>
      <c r="D20" s="10" t="inlineStr">
        <is>
          <t>6714</t>
        </is>
      </c>
      <c r="E20" s="9" t="n">
        <v>45967</v>
      </c>
      <c r="F20" s="11" t="n">
        <v>32432</v>
      </c>
      <c r="G20" s="10" t="inlineStr">
        <is>
          <t>Yes</t>
        </is>
      </c>
      <c r="H20" s="10" t="n">
        <v>12</v>
      </c>
      <c r="I20" s="10" t="inlineStr">
        <is>
          <t>Named in Board documents</t>
        </is>
      </c>
      <c r="J20" s="12" t="inlineStr">
        <is>
          <t>Warrant list p. 3</t>
        </is>
      </c>
      <c r="K20" s="10" t="inlineStr">
        <is>
          <t>https://nederlandco.civicweb.net/document/125911/</t>
        </is>
      </c>
    </row>
    <row r="21">
      <c r="A21" s="9" t="n">
        <v>45979</v>
      </c>
      <c r="B21" s="10" t="inlineStr">
        <is>
          <t>Susan N. Fattor</t>
        </is>
      </c>
      <c r="C21" s="10" t="inlineStr">
        <is>
          <t>Bolder HR Solutions</t>
        </is>
      </c>
      <c r="D21" s="10" t="inlineStr">
        <is>
          <t>0001</t>
        </is>
      </c>
      <c r="E21" s="9" t="n">
        <v>45962</v>
      </c>
      <c r="F21" s="11" t="n">
        <v>3600</v>
      </c>
      <c r="G21" s="10" t="inlineStr">
        <is>
          <t>Yes</t>
        </is>
      </c>
      <c r="H21" s="10" t="n">
        <v>17</v>
      </c>
      <c r="I21" s="10" t="inlineStr">
        <is>
          <t>No other record</t>
        </is>
      </c>
      <c r="J21" s="12" t="inlineStr">
        <is>
          <t>Warrant list p. 4</t>
        </is>
      </c>
      <c r="K21" s="10" t="inlineStr">
        <is>
          <t>https://nederlandco.civicweb.net/document/125911/</t>
        </is>
      </c>
    </row>
    <row r="22">
      <c r="A22" s="9" t="n">
        <v>45979</v>
      </c>
      <c r="B22" s="10" t="inlineStr">
        <is>
          <t>Semple</t>
        </is>
      </c>
      <c r="C22" s="10" t="inlineStr">
        <is>
          <t>Semple, Farrington, Everall &amp; Case</t>
        </is>
      </c>
      <c r="D22" s="10" t="inlineStr">
        <is>
          <t>61416</t>
        </is>
      </c>
      <c r="E22" s="9" t="n">
        <v>45900</v>
      </c>
      <c r="F22" s="11" t="n">
        <v>360</v>
      </c>
      <c r="G22" s="10" t="inlineStr">
        <is>
          <t>Yes</t>
        </is>
      </c>
      <c r="H22" s="10" t="n">
        <v>79</v>
      </c>
      <c r="I22" s="10" t="inlineStr">
        <is>
          <t>No other record</t>
        </is>
      </c>
      <c r="J22" s="12" t="inlineStr">
        <is>
          <t>Warrant list p. 4</t>
        </is>
      </c>
      <c r="K22" s="10" t="inlineStr">
        <is>
          <t>https://nederlandco.civicweb.net/document/125911/</t>
        </is>
      </c>
    </row>
    <row r="23">
      <c r="A23" s="9" t="n">
        <v>45993</v>
      </c>
      <c r="B23" s="10" t="inlineStr">
        <is>
          <t>Widner Juran LLP</t>
        </is>
      </c>
      <c r="C23" s="10" t="inlineStr">
        <is>
          <t>Widner Juran LLP</t>
        </is>
      </c>
      <c r="D23" s="10" t="inlineStr">
        <is>
          <t>46.0315</t>
        </is>
      </c>
      <c r="E23" s="9" t="n">
        <v>45961</v>
      </c>
      <c r="F23" s="11" t="n">
        <v>31381</v>
      </c>
      <c r="G23" s="10" t="inlineStr">
        <is>
          <t>Yes</t>
        </is>
      </c>
      <c r="H23" s="10" t="n">
        <v>32</v>
      </c>
      <c r="I23" s="10" t="inlineStr">
        <is>
          <t>Account coding only</t>
        </is>
      </c>
      <c r="J23" s="12" t="inlineStr">
        <is>
          <t>Warrant list p. 2</t>
        </is>
      </c>
      <c r="K23" s="10" t="inlineStr">
        <is>
          <t>https://nederlandco.civicweb.net/document/126169/</t>
        </is>
      </c>
    </row>
    <row r="24">
      <c r="A24" s="9" t="n">
        <v>45993</v>
      </c>
      <c r="B24" s="10" t="inlineStr">
        <is>
          <t>Farnsworth Group</t>
        </is>
      </c>
      <c r="C24" s="10" t="inlineStr">
        <is>
          <t>Farnsworth Group</t>
        </is>
      </c>
      <c r="D24" s="10" t="inlineStr">
        <is>
          <t>264460</t>
        </is>
      </c>
      <c r="E24" s="9" t="n">
        <v>45946</v>
      </c>
      <c r="F24" s="11" t="n">
        <v>24814</v>
      </c>
      <c r="G24" s="10" t="inlineStr">
        <is>
          <t>Yes</t>
        </is>
      </c>
      <c r="H24" s="10" t="n">
        <v>47</v>
      </c>
      <c r="I24" s="10" t="inlineStr">
        <is>
          <t>No other record</t>
        </is>
      </c>
      <c r="J24" s="12" t="inlineStr">
        <is>
          <t>Warrant list p. 3</t>
        </is>
      </c>
      <c r="K24" s="10" t="inlineStr">
        <is>
          <t>https://nederlandco.civicweb.net/document/126169/</t>
        </is>
      </c>
    </row>
    <row r="25">
      <c r="A25" s="9" t="n">
        <v>45993</v>
      </c>
      <c r="B25" s="10" t="inlineStr">
        <is>
          <t>Farnsworth Group</t>
        </is>
      </c>
      <c r="C25" s="10" t="inlineStr">
        <is>
          <t>Farnsworth Group</t>
        </is>
      </c>
      <c r="D25" s="10" t="inlineStr">
        <is>
          <t>265418</t>
        </is>
      </c>
      <c r="E25" s="9" t="n">
        <v>45982</v>
      </c>
      <c r="F25" s="11" t="n">
        <v>33956</v>
      </c>
      <c r="G25" s="10" t="inlineStr">
        <is>
          <t>Yes</t>
        </is>
      </c>
      <c r="H25" s="10" t="n">
        <v>11</v>
      </c>
      <c r="I25" s="10" t="inlineStr">
        <is>
          <t>No other record</t>
        </is>
      </c>
      <c r="J25" s="12" t="inlineStr">
        <is>
          <t>Warrant list p. 3</t>
        </is>
      </c>
      <c r="K25" s="10" t="inlineStr">
        <is>
          <t>https://nederlandco.civicweb.net/document/126169/</t>
        </is>
      </c>
    </row>
    <row r="26">
      <c r="A26" s="9" t="n">
        <v>46007</v>
      </c>
      <c r="B26" s="10" t="inlineStr">
        <is>
          <t>BBA Water Consultants</t>
        </is>
      </c>
      <c r="C26" s="10" t="inlineStr">
        <is>
          <t>BBA Water Consultants</t>
        </is>
      </c>
      <c r="D26" s="10" t="inlineStr">
        <is>
          <t>57724</t>
        </is>
      </c>
      <c r="E26" s="9" t="n">
        <v>45976</v>
      </c>
      <c r="F26" s="11" t="n">
        <v>6274</v>
      </c>
      <c r="G26" s="10" t="inlineStr">
        <is>
          <t>Yes</t>
        </is>
      </c>
      <c r="H26" s="10" t="n">
        <v>31</v>
      </c>
      <c r="I26" s="10" t="inlineStr">
        <is>
          <t>Named in Board documents</t>
        </is>
      </c>
      <c r="J26" s="12" t="inlineStr">
        <is>
          <t>Warrant list p. 4</t>
        </is>
      </c>
      <c r="K26" s="10" t="inlineStr">
        <is>
          <t>https://nederlandco.civicweb.net/document/126508/</t>
        </is>
      </c>
    </row>
    <row r="27">
      <c r="A27" s="9" t="n">
        <v>46042</v>
      </c>
      <c r="B27" s="10" t="inlineStr">
        <is>
          <t>JVA</t>
        </is>
      </c>
      <c r="C27" s="10" t="inlineStr">
        <is>
          <t>JVA</t>
        </is>
      </c>
      <c r="D27" s="10" t="inlineStr">
        <is>
          <t>27216</t>
        </is>
      </c>
      <c r="E27" s="9" t="n">
        <v>45991</v>
      </c>
      <c r="F27" s="11" t="n">
        <v>1733.4</v>
      </c>
      <c r="G27" s="10" t="inlineStr">
        <is>
          <t>Yes</t>
        </is>
      </c>
      <c r="H27" s="10" t="n">
        <v>51</v>
      </c>
      <c r="I27" s="10" t="inlineStr">
        <is>
          <t>Account coding only</t>
        </is>
      </c>
      <c r="J27" s="12" t="inlineStr">
        <is>
          <t>Warrant list p. 1</t>
        </is>
      </c>
      <c r="K27" s="10" t="inlineStr">
        <is>
          <t>https://nederlandco.civicweb.net/document/127156/</t>
        </is>
      </c>
    </row>
    <row r="28">
      <c r="A28" s="9" t="n">
        <v>46042</v>
      </c>
      <c r="B28" s="10" t="inlineStr">
        <is>
          <t>Widner Juran LLP</t>
        </is>
      </c>
      <c r="C28" s="10" t="inlineStr">
        <is>
          <t>Widner Juran LLP</t>
        </is>
      </c>
      <c r="D28" s="10" t="inlineStr">
        <is>
          <t>46.0319</t>
        </is>
      </c>
      <c r="E28" s="9" t="n">
        <v>45991</v>
      </c>
      <c r="F28" s="11" t="n">
        <v>19737</v>
      </c>
      <c r="G28" s="10" t="inlineStr">
        <is>
          <t>Yes</t>
        </is>
      </c>
      <c r="H28" s="10" t="n">
        <v>51</v>
      </c>
      <c r="I28" s="10" t="inlineStr">
        <is>
          <t>Account coding only</t>
        </is>
      </c>
      <c r="J28" s="12" t="inlineStr">
        <is>
          <t>Warrant list p. 2</t>
        </is>
      </c>
      <c r="K28" s="10" t="inlineStr">
        <is>
          <t>https://nederlandco.civicweb.net/document/127156/</t>
        </is>
      </c>
    </row>
    <row r="29">
      <c r="A29" s="9" t="n">
        <v>46042</v>
      </c>
      <c r="B29" s="10" t="inlineStr">
        <is>
          <t>Sno.engineering</t>
        </is>
      </c>
      <c r="C29" s="10" t="inlineStr">
        <is>
          <t>SE Group</t>
        </is>
      </c>
      <c r="D29" s="10" t="inlineStr">
        <is>
          <t>6886</t>
        </is>
      </c>
      <c r="E29" s="9" t="n">
        <v>45996</v>
      </c>
      <c r="F29" s="11" t="n">
        <v>10378</v>
      </c>
      <c r="G29" s="10" t="inlineStr">
        <is>
          <t>Yes</t>
        </is>
      </c>
      <c r="H29" s="10" t="n">
        <v>46</v>
      </c>
      <c r="I29" s="10" t="inlineStr">
        <is>
          <t>Named in Board documents</t>
        </is>
      </c>
      <c r="J29" s="12" t="inlineStr">
        <is>
          <t>Warrant list p. 2</t>
        </is>
      </c>
      <c r="K29" s="10" t="inlineStr">
        <is>
          <t>https://nederlandco.civicweb.net/document/127156/</t>
        </is>
      </c>
    </row>
    <row r="30">
      <c r="A30" s="9" t="n">
        <v>46042</v>
      </c>
      <c r="B30" s="10" t="inlineStr">
        <is>
          <t>Professional Management Systems</t>
        </is>
      </c>
      <c r="C30" s="10" t="inlineStr">
        <is>
          <t>Professional Management Solutions</t>
        </is>
      </c>
      <c r="D30" s="10" t="inlineStr">
        <is>
          <t>85157</t>
        </is>
      </c>
      <c r="E30" s="9" t="n">
        <v>45987</v>
      </c>
      <c r="F30" s="11" t="n">
        <v>639.38</v>
      </c>
      <c r="G30" s="10" t="inlineStr">
        <is>
          <t>Yes</t>
        </is>
      </c>
      <c r="H30" s="10" t="n">
        <v>55</v>
      </c>
      <c r="I30" s="10" t="inlineStr">
        <is>
          <t>No other record</t>
        </is>
      </c>
      <c r="J30" s="12" t="inlineStr">
        <is>
          <t>Warrant list p. 3</t>
        </is>
      </c>
      <c r="K30" s="10" t="inlineStr">
        <is>
          <t>https://nederlandco.civicweb.net/document/127156/</t>
        </is>
      </c>
    </row>
    <row r="31">
      <c r="A31" s="9" t="n">
        <v>46042</v>
      </c>
      <c r="B31" s="10" t="inlineStr">
        <is>
          <t>P&amp;M Holding Group</t>
        </is>
      </c>
      <c r="C31" s="10" t="inlineStr">
        <is>
          <t>Plante Moran</t>
        </is>
      </c>
      <c r="D31" s="10" t="inlineStr">
        <is>
          <t>10592072</t>
        </is>
      </c>
      <c r="E31" s="9" t="n">
        <v>46005</v>
      </c>
      <c r="F31" s="11" t="n">
        <v>20300</v>
      </c>
      <c r="G31" s="10" t="inlineStr">
        <is>
          <t>Yes</t>
        </is>
      </c>
      <c r="H31" s="10" t="n">
        <v>37</v>
      </c>
      <c r="I31" s="10" t="inlineStr">
        <is>
          <t>Named in Board documents</t>
        </is>
      </c>
      <c r="J31" s="12" t="inlineStr">
        <is>
          <t>Warrant list p. 3</t>
        </is>
      </c>
      <c r="K31" s="10" t="inlineStr">
        <is>
          <t>https://nederlandco.civicweb.net/document/127156/</t>
        </is>
      </c>
    </row>
    <row r="32">
      <c r="A32" s="9" t="n">
        <v>46042</v>
      </c>
      <c r="B32" s="10" t="inlineStr">
        <is>
          <t>Susan N. Fattor</t>
        </is>
      </c>
      <c r="C32" s="10" t="inlineStr">
        <is>
          <t>Bolder HR Solutions</t>
        </is>
      </c>
      <c r="D32" s="10" t="inlineStr">
        <is>
          <t>0002</t>
        </is>
      </c>
      <c r="E32" s="9" t="n">
        <v>45991</v>
      </c>
      <c r="F32" s="11" t="n">
        <v>187.5</v>
      </c>
      <c r="G32" s="10" t="inlineStr">
        <is>
          <t>Yes</t>
        </is>
      </c>
      <c r="H32" s="10" t="n">
        <v>51</v>
      </c>
      <c r="I32" s="10" t="inlineStr">
        <is>
          <t>No other record</t>
        </is>
      </c>
      <c r="J32" s="12" t="inlineStr">
        <is>
          <t>Warrant list p. 9</t>
        </is>
      </c>
      <c r="K32" s="10" t="inlineStr">
        <is>
          <t>https://nederlandco.civicweb.net/document/127156/</t>
        </is>
      </c>
    </row>
    <row r="33">
      <c r="A33" s="9" t="n">
        <v>46042</v>
      </c>
      <c r="B33" s="10" t="inlineStr">
        <is>
          <t>BBA Water Consultants</t>
        </is>
      </c>
      <c r="C33" s="10" t="inlineStr">
        <is>
          <t>BBA Water Consultants</t>
        </is>
      </c>
      <c r="D33" s="10" t="inlineStr">
        <is>
          <t>57791</t>
        </is>
      </c>
      <c r="E33" s="9" t="n">
        <v>46006</v>
      </c>
      <c r="F33" s="11" t="n">
        <v>3244.5</v>
      </c>
      <c r="G33" s="10" t="inlineStr">
        <is>
          <t>Yes</t>
        </is>
      </c>
      <c r="H33" s="10" t="n">
        <v>36</v>
      </c>
      <c r="I33" s="10" t="inlineStr">
        <is>
          <t>Named in Board documents</t>
        </is>
      </c>
      <c r="J33" s="12" t="inlineStr">
        <is>
          <t>Warrant list p. 10</t>
        </is>
      </c>
      <c r="K33" s="10" t="inlineStr">
        <is>
          <t>https://nederlandco.civicweb.net/document/127156/</t>
        </is>
      </c>
    </row>
    <row r="34">
      <c r="A34" s="9" t="n">
        <v>46042</v>
      </c>
      <c r="B34" s="10" t="inlineStr">
        <is>
          <t>P&amp;M Holding Group</t>
        </is>
      </c>
      <c r="C34" s="10" t="inlineStr">
        <is>
          <t>Plante Moran</t>
        </is>
      </c>
      <c r="D34" s="10" t="inlineStr">
        <is>
          <t>10596292</t>
        </is>
      </c>
      <c r="E34" s="9" t="n">
        <v>46018</v>
      </c>
      <c r="F34" s="11" t="n">
        <v>42432.5</v>
      </c>
      <c r="G34" s="10" t="inlineStr">
        <is>
          <t>Yes</t>
        </is>
      </c>
      <c r="H34" s="10" t="n">
        <v>24</v>
      </c>
      <c r="I34" s="10" t="inlineStr">
        <is>
          <t>Named in Board documents</t>
        </is>
      </c>
      <c r="J34" s="12" t="inlineStr">
        <is>
          <t>Warrant list p. 10</t>
        </is>
      </c>
      <c r="K34" s="10" t="inlineStr">
        <is>
          <t>https://nederlandco.civicweb.net/document/127156/</t>
        </is>
      </c>
    </row>
    <row r="35">
      <c r="A35" s="9" t="n">
        <v>46056</v>
      </c>
      <c r="B35" s="10" t="inlineStr">
        <is>
          <t>Sno.engineering</t>
        </is>
      </c>
      <c r="C35" s="10" t="inlineStr">
        <is>
          <t>SE Group</t>
        </is>
      </c>
      <c r="D35" s="10" t="inlineStr">
        <is>
          <t>7012</t>
        </is>
      </c>
      <c r="E35" s="9" t="n">
        <v>46031</v>
      </c>
      <c r="F35" s="11" t="n">
        <v>11327</v>
      </c>
      <c r="G35" s="10" t="inlineStr">
        <is>
          <t>Yes</t>
        </is>
      </c>
      <c r="H35" s="10" t="n">
        <v>25</v>
      </c>
      <c r="I35" s="10" t="inlineStr">
        <is>
          <t>Named in Board documents</t>
        </is>
      </c>
      <c r="J35" s="12" t="inlineStr">
        <is>
          <t>Warrant list p. 2</t>
        </is>
      </c>
      <c r="K35" s="10" t="inlineStr">
        <is>
          <t>https://nederlandco.civicweb.net/document/127394/</t>
        </is>
      </c>
    </row>
    <row r="36">
      <c r="A36" s="9" t="n">
        <v>46070</v>
      </c>
      <c r="B36" s="10" t="inlineStr">
        <is>
          <t>Widner Juran LLP</t>
        </is>
      </c>
      <c r="C36" s="10" t="inlineStr">
        <is>
          <t>Widner Juran LLP</t>
        </is>
      </c>
      <c r="D36" s="10" t="inlineStr">
        <is>
          <t>46.0322</t>
        </is>
      </c>
      <c r="E36" s="9" t="n">
        <v>46022</v>
      </c>
      <c r="F36" s="11" t="n">
        <v>16985</v>
      </c>
      <c r="G36" s="10" t="inlineStr">
        <is>
          <t>Yes</t>
        </is>
      </c>
      <c r="H36" s="10" t="n">
        <v>48</v>
      </c>
      <c r="I36" s="10" t="inlineStr">
        <is>
          <t>Account coding only</t>
        </is>
      </c>
      <c r="J36" s="12" t="inlineStr">
        <is>
          <t>Warrant list p. 2</t>
        </is>
      </c>
      <c r="K36" s="10" t="inlineStr">
        <is>
          <t>https://nederlandco.civicweb.net/document/127711/</t>
        </is>
      </c>
    </row>
    <row r="37">
      <c r="A37" s="9" t="n">
        <v>46070</v>
      </c>
      <c r="B37" s="10" t="inlineStr">
        <is>
          <t>Widner Juran LLP</t>
        </is>
      </c>
      <c r="C37" s="10" t="inlineStr">
        <is>
          <t>Widner Juran LLP</t>
        </is>
      </c>
      <c r="D37" s="10" t="inlineStr">
        <is>
          <t>46.0325</t>
        </is>
      </c>
      <c r="E37" s="9" t="n">
        <v>46053</v>
      </c>
      <c r="F37" s="11" t="n">
        <v>20861</v>
      </c>
      <c r="G37" s="10" t="inlineStr">
        <is>
          <t>Yes</t>
        </is>
      </c>
      <c r="H37" s="10" t="n">
        <v>17</v>
      </c>
      <c r="I37" s="10" t="inlineStr">
        <is>
          <t>Account coding only</t>
        </is>
      </c>
      <c r="J37" s="12" t="inlineStr">
        <is>
          <t>Warrant list p. 7</t>
        </is>
      </c>
      <c r="K37" s="10" t="inlineStr">
        <is>
          <t>https://nederlandco.civicweb.net/document/127711/</t>
        </is>
      </c>
    </row>
    <row r="38">
      <c r="A38" s="9" t="n">
        <v>46070</v>
      </c>
      <c r="B38" s="10" t="inlineStr">
        <is>
          <t>Vadim Municipal Software Inc</t>
        </is>
      </c>
      <c r="C38" s="10" t="inlineStr">
        <is>
          <t>Vadim Municipal Software</t>
        </is>
      </c>
      <c r="D38" s="10" t="inlineStr">
        <is>
          <t>457143</t>
        </is>
      </c>
      <c r="E38" s="9" t="n">
        <v>46057</v>
      </c>
      <c r="F38" s="11" t="n">
        <v>2427</v>
      </c>
      <c r="G38" s="10" t="inlineStr">
        <is>
          <t>Yes</t>
        </is>
      </c>
      <c r="H38" s="10" t="n">
        <v>13</v>
      </c>
      <c r="I38" s="10" t="inlineStr">
        <is>
          <t>Account coding only</t>
        </is>
      </c>
      <c r="J38" s="12" t="inlineStr">
        <is>
          <t>Warrant list p. 7</t>
        </is>
      </c>
      <c r="K38" s="10" t="inlineStr">
        <is>
          <t>https://nederlandco.civicweb.net/document/127711/</t>
        </is>
      </c>
    </row>
    <row r="39">
      <c r="A39" s="9" t="n">
        <v>46070</v>
      </c>
      <c r="B39" s="10" t="inlineStr">
        <is>
          <t>Sno.engineering</t>
        </is>
      </c>
      <c r="C39" s="10" t="inlineStr">
        <is>
          <t>SE Group</t>
        </is>
      </c>
      <c r="D39" s="10" t="inlineStr">
        <is>
          <t>7112</t>
        </is>
      </c>
      <c r="E39" s="9" t="n">
        <v>46058</v>
      </c>
      <c r="F39" s="11" t="n">
        <v>8335.5</v>
      </c>
      <c r="G39" s="10" t="inlineStr">
        <is>
          <t>Yes</t>
        </is>
      </c>
      <c r="H39" s="10" t="n">
        <v>12</v>
      </c>
      <c r="I39" s="10" t="inlineStr">
        <is>
          <t>Named in Board documents</t>
        </is>
      </c>
      <c r="J39" s="12" t="inlineStr">
        <is>
          <t>Warrant list p. 8</t>
        </is>
      </c>
      <c r="K39" s="10" t="inlineStr">
        <is>
          <t>https://nederlandco.civicweb.net/document/127711/</t>
        </is>
      </c>
    </row>
    <row r="40">
      <c r="A40" s="9" t="n">
        <v>46070</v>
      </c>
      <c r="B40" s="10" t="inlineStr">
        <is>
          <t>Susan N. Fattor</t>
        </is>
      </c>
      <c r="C40" s="10" t="inlineStr">
        <is>
          <t>Bolder HR Solutions</t>
        </is>
      </c>
      <c r="D40" s="10" t="inlineStr">
        <is>
          <t>0003</t>
        </is>
      </c>
      <c r="E40" s="9" t="n">
        <v>46053</v>
      </c>
      <c r="F40" s="11" t="n">
        <v>75</v>
      </c>
      <c r="G40" s="10" t="inlineStr">
        <is>
          <t>Yes</t>
        </is>
      </c>
      <c r="H40" s="10" t="n">
        <v>17</v>
      </c>
      <c r="I40" s="10" t="inlineStr">
        <is>
          <t>No other record</t>
        </is>
      </c>
      <c r="J40" s="12" t="inlineStr">
        <is>
          <t>Warrant list p. 9</t>
        </is>
      </c>
      <c r="K40" s="10" t="inlineStr">
        <is>
          <t>https://nederlandco.civicweb.net/document/127711/</t>
        </is>
      </c>
    </row>
    <row r="41">
      <c r="A41" s="9" t="n">
        <v>46070</v>
      </c>
      <c r="B41" s="10" t="inlineStr">
        <is>
          <t>Semple</t>
        </is>
      </c>
      <c r="C41" s="10" t="inlineStr">
        <is>
          <t>Semple, Farrington, Everall &amp; Case</t>
        </is>
      </c>
      <c r="D41" s="10" t="inlineStr">
        <is>
          <t>62085</t>
        </is>
      </c>
      <c r="E41" s="9" t="n">
        <v>46022</v>
      </c>
      <c r="F41" s="11" t="n">
        <v>791.29</v>
      </c>
      <c r="G41" s="10" t="inlineStr">
        <is>
          <t>Yes</t>
        </is>
      </c>
      <c r="H41" s="10" t="n">
        <v>48</v>
      </c>
      <c r="I41" s="10" t="inlineStr">
        <is>
          <t>No other record</t>
        </is>
      </c>
      <c r="J41" s="12" t="inlineStr">
        <is>
          <t>Warrant list p. 9</t>
        </is>
      </c>
      <c r="K41" s="10" t="inlineStr">
        <is>
          <t>https://nederlandco.civicweb.net/document/127711/</t>
        </is>
      </c>
    </row>
    <row r="42">
      <c r="A42" s="9" t="n">
        <v>46070</v>
      </c>
      <c r="B42" s="10" t="inlineStr">
        <is>
          <t>Datasite LLC</t>
        </is>
      </c>
      <c r="C42" s="10" t="inlineStr">
        <is>
          <t>Datasite</t>
        </is>
      </c>
      <c r="D42" s="10" t="inlineStr">
        <is>
          <t>INV-890453</t>
        </is>
      </c>
      <c r="E42" s="9" t="n">
        <v>46058</v>
      </c>
      <c r="F42" s="11" t="n">
        <v>200</v>
      </c>
      <c r="G42" s="10" t="inlineStr">
        <is>
          <t>Yes</t>
        </is>
      </c>
      <c r="H42" s="10" t="n">
        <v>12</v>
      </c>
      <c r="I42" s="10" t="inlineStr">
        <is>
          <t>No other record</t>
        </is>
      </c>
      <c r="J42" s="12" t="inlineStr">
        <is>
          <t>Warrant list p. 9</t>
        </is>
      </c>
      <c r="K42" s="10" t="inlineStr">
        <is>
          <t>https://nederlandco.civicweb.net/document/127711/</t>
        </is>
      </c>
    </row>
    <row r="43">
      <c r="A43" s="9" t="n">
        <v>46070</v>
      </c>
      <c r="B43" s="10" t="inlineStr">
        <is>
          <t>Torrent Engineering &amp; Equipment Company LLC</t>
        </is>
      </c>
      <c r="C43" s="10" t="inlineStr">
        <is>
          <t>Torrent Engineering &amp; Equipment</t>
        </is>
      </c>
      <c r="D43" s="10" t="inlineStr">
        <is>
          <t>8478</t>
        </is>
      </c>
      <c r="E43" s="9" t="n">
        <v>46022</v>
      </c>
      <c r="F43" s="11" t="n">
        <v>5800</v>
      </c>
      <c r="G43" s="10" t="inlineStr">
        <is>
          <t>Yes</t>
        </is>
      </c>
      <c r="H43" s="10" t="n">
        <v>48</v>
      </c>
      <c r="I43" s="10" t="inlineStr">
        <is>
          <t>No other record</t>
        </is>
      </c>
      <c r="J43" s="12" t="inlineStr">
        <is>
          <t>Warrant list p. 9</t>
        </is>
      </c>
      <c r="K43" s="10" t="inlineStr">
        <is>
          <t>https://nederlandco.civicweb.net/document/127711/</t>
        </is>
      </c>
    </row>
    <row r="44">
      <c r="A44" s="9" t="n">
        <v>46084</v>
      </c>
      <c r="B44" s="10" t="inlineStr">
        <is>
          <t>POWDR Corp</t>
        </is>
      </c>
      <c r="C44" s="10" t="inlineStr">
        <is>
          <t>POWDR Corp</t>
        </is>
      </c>
      <c r="D44" s="10" t="inlineStr">
        <is>
          <t>INV3313</t>
        </is>
      </c>
      <c r="E44" s="9" t="n">
        <v>46049</v>
      </c>
      <c r="F44" s="11" t="n">
        <v>124000</v>
      </c>
      <c r="G44" s="10" t="inlineStr">
        <is>
          <t>Yes</t>
        </is>
      </c>
      <c r="H44" s="10" t="n">
        <v>35</v>
      </c>
      <c r="I44" s="10" t="inlineStr">
        <is>
          <t>Named in Board documents</t>
        </is>
      </c>
      <c r="J44" s="12" t="inlineStr">
        <is>
          <t>Warrant list p. 3</t>
        </is>
      </c>
      <c r="K44" s="10" t="inlineStr">
        <is>
          <t>https://nederlandco.civicweb.net/document/128049/</t>
        </is>
      </c>
    </row>
    <row r="45">
      <c r="A45" s="9" t="n"/>
      <c r="B45" s="10" t="inlineStr">
        <is>
          <t>POWDR Corp</t>
        </is>
      </c>
      <c r="C45" s="10" t="inlineStr">
        <is>
          <t>POWDR Corp</t>
        </is>
      </c>
      <c r="D45" s="10" t="inlineStr">
        <is>
          <t>2026-01-06</t>
        </is>
      </c>
      <c r="E45" s="9" t="n">
        <v>46028</v>
      </c>
      <c r="F45" s="11" t="n">
        <v>50000</v>
      </c>
      <c r="G45" s="10" t="inlineStr">
        <is>
          <t>No</t>
        </is>
      </c>
      <c r="H45" s="10" t="n"/>
      <c r="I45" s="10" t="inlineStr">
        <is>
          <t>Named in Board documents</t>
        </is>
      </c>
      <c r="J45" s="12" t="inlineStr">
        <is>
          <t>In the Town ledger (invoice dated Jan 6, 2026); on no warrant list. Purpose not stated. A letter of the same date provides for a $50,000 advance to POWDR toward Ikon negotiation costs; first in the account balance on the March 3, 2026, warrant list</t>
        </is>
      </c>
      <c r="K45" s="10" t="inlineStr">
        <is>
          <t>https://eldorarecord.org/records/2026-09-25-eldora-reimbursable-expenses.xls</t>
        </is>
      </c>
    </row>
    <row r="46">
      <c r="A46" s="9" t="n">
        <v>46112</v>
      </c>
      <c r="B46" s="10" t="inlineStr">
        <is>
          <t>Widner Juran LLP</t>
        </is>
      </c>
      <c r="C46" s="10" t="inlineStr">
        <is>
          <t>Widner Juran LLP</t>
        </is>
      </c>
      <c r="D46" s="10" t="inlineStr">
        <is>
          <t>46.0326</t>
        </is>
      </c>
      <c r="E46" s="9" t="n">
        <v>46081</v>
      </c>
      <c r="F46" s="11" t="n">
        <v>23203</v>
      </c>
      <c r="G46" s="10" t="inlineStr">
        <is>
          <t>Yes</t>
        </is>
      </c>
      <c r="H46" s="10" t="n">
        <v>31</v>
      </c>
      <c r="I46" s="10" t="inlineStr">
        <is>
          <t>Account coding only</t>
        </is>
      </c>
      <c r="J46" s="12" t="inlineStr">
        <is>
          <t>Warrant list p. 2</t>
        </is>
      </c>
      <c r="K46" s="10" t="inlineStr">
        <is>
          <t>https://nederlandco.civicweb.net/document/128662/</t>
        </is>
      </c>
    </row>
    <row r="47">
      <c r="A47" s="9" t="n">
        <v>46112</v>
      </c>
      <c r="B47" s="10" t="inlineStr">
        <is>
          <t>Sno.engineering</t>
        </is>
      </c>
      <c r="C47" s="10" t="inlineStr">
        <is>
          <t>SE Group</t>
        </is>
      </c>
      <c r="D47" s="10" t="inlineStr">
        <is>
          <t>7242</t>
        </is>
      </c>
      <c r="E47" s="9" t="n">
        <v>46085</v>
      </c>
      <c r="F47" s="11" t="n">
        <v>13033.2</v>
      </c>
      <c r="G47" s="10" t="inlineStr">
        <is>
          <t>Yes</t>
        </is>
      </c>
      <c r="H47" s="10" t="n">
        <v>27</v>
      </c>
      <c r="I47" s="10" t="inlineStr">
        <is>
          <t>Named in Board documents</t>
        </is>
      </c>
      <c r="J47" s="12" t="inlineStr">
        <is>
          <t>Warrant list p. 2</t>
        </is>
      </c>
      <c r="K47" s="10" t="inlineStr">
        <is>
          <t>https://nederlandco.civicweb.net/document/128662/</t>
        </is>
      </c>
    </row>
    <row r="48">
      <c r="A48" s="9" t="n">
        <v>46112</v>
      </c>
      <c r="B48" s="10" t="inlineStr">
        <is>
          <t>Farnsworth Group</t>
        </is>
      </c>
      <c r="C48" s="10" t="inlineStr">
        <is>
          <t>Farnsworth Group</t>
        </is>
      </c>
      <c r="D48" s="10" t="inlineStr">
        <is>
          <t>266639</t>
        </is>
      </c>
      <c r="E48" s="9" t="n">
        <v>46038</v>
      </c>
      <c r="F48" s="11" t="n">
        <v>6530</v>
      </c>
      <c r="G48" s="10" t="inlineStr">
        <is>
          <t>Yes</t>
        </is>
      </c>
      <c r="H48" s="10" t="n">
        <v>74</v>
      </c>
      <c r="I48" s="10" t="inlineStr">
        <is>
          <t>No other record</t>
        </is>
      </c>
      <c r="J48" s="12" t="inlineStr">
        <is>
          <t>Warrant list p. 3</t>
        </is>
      </c>
      <c r="K48" s="10" t="inlineStr">
        <is>
          <t>https://nederlandco.civicweb.net/document/128662/</t>
        </is>
      </c>
    </row>
    <row r="49">
      <c r="A49" s="9" t="n">
        <v>46112</v>
      </c>
      <c r="B49" s="10" t="inlineStr">
        <is>
          <t>BBA Water Consultants</t>
        </is>
      </c>
      <c r="C49" s="10" t="inlineStr">
        <is>
          <t>BBA Water Consultants</t>
        </is>
      </c>
      <c r="D49" s="10" t="inlineStr">
        <is>
          <t>58104</t>
        </is>
      </c>
      <c r="E49" s="9" t="n">
        <v>46068</v>
      </c>
      <c r="F49" s="11" t="n">
        <v>3561</v>
      </c>
      <c r="G49" s="10" t="inlineStr">
        <is>
          <t>Yes</t>
        </is>
      </c>
      <c r="H49" s="10" t="n">
        <v>44</v>
      </c>
      <c r="I49" s="10" t="inlineStr">
        <is>
          <t>Named in Board documents</t>
        </is>
      </c>
      <c r="J49" s="12" t="inlineStr">
        <is>
          <t>Warrant list p. 3</t>
        </is>
      </c>
      <c r="K49" s="10" t="inlineStr">
        <is>
          <t>https://nederlandco.civicweb.net/document/128662/</t>
        </is>
      </c>
    </row>
    <row r="50">
      <c r="A50" s="9" t="n">
        <v>46133</v>
      </c>
      <c r="B50" s="10" t="inlineStr">
        <is>
          <t>Datasite LLC</t>
        </is>
      </c>
      <c r="C50" s="10" t="inlineStr">
        <is>
          <t>Datasite</t>
        </is>
      </c>
      <c r="D50" s="10" t="inlineStr">
        <is>
          <t>INV-902223</t>
        </is>
      </c>
      <c r="E50" s="9" t="n">
        <v>46086</v>
      </c>
      <c r="F50" s="11" t="n">
        <v>200</v>
      </c>
      <c r="G50" s="10" t="inlineStr">
        <is>
          <t>Yes</t>
        </is>
      </c>
      <c r="H50" s="10" t="n">
        <v>47</v>
      </c>
      <c r="I50" s="10" t="inlineStr">
        <is>
          <t>No other record</t>
        </is>
      </c>
      <c r="J50" s="12" t="inlineStr">
        <is>
          <t>Warrant list p. 3</t>
        </is>
      </c>
      <c r="K50" s="10" t="inlineStr">
        <is>
          <t>https://nederlandco.civicweb.net/document/128980/</t>
        </is>
      </c>
    </row>
    <row r="51">
      <c r="A51" s="9" t="n">
        <v>46147</v>
      </c>
      <c r="B51" s="10" t="inlineStr">
        <is>
          <t>Widner Juran LLP</t>
        </is>
      </c>
      <c r="C51" s="10" t="inlineStr">
        <is>
          <t>Widner Juran LLP</t>
        </is>
      </c>
      <c r="D51" s="10" t="inlineStr">
        <is>
          <t>46.0330</t>
        </is>
      </c>
      <c r="E51" s="9" t="n">
        <v>46112</v>
      </c>
      <c r="F51" s="11" t="n">
        <v>33367</v>
      </c>
      <c r="G51" s="10" t="inlineStr">
        <is>
          <t>Yes</t>
        </is>
      </c>
      <c r="H51" s="10" t="n">
        <v>35</v>
      </c>
      <c r="I51" s="10" t="inlineStr">
        <is>
          <t>Account coding only</t>
        </is>
      </c>
      <c r="J51" s="12" t="inlineStr">
        <is>
          <t>Warrant list p. 2</t>
        </is>
      </c>
      <c r="K51" s="10" t="inlineStr">
        <is>
          <t>https://nederlandco.civicweb.net/document/129316/</t>
        </is>
      </c>
    </row>
    <row r="52">
      <c r="A52" s="9" t="n">
        <v>46147</v>
      </c>
      <c r="B52" s="10" t="inlineStr">
        <is>
          <t>Datasite LLC</t>
        </is>
      </c>
      <c r="C52" s="10" t="inlineStr">
        <is>
          <t>Datasite</t>
        </is>
      </c>
      <c r="D52" s="10" t="inlineStr">
        <is>
          <t>INV-913882</t>
        </is>
      </c>
      <c r="E52" s="9" t="n">
        <v>46117</v>
      </c>
      <c r="F52" s="11" t="n">
        <v>200</v>
      </c>
      <c r="G52" s="10" t="inlineStr">
        <is>
          <t>Yes</t>
        </is>
      </c>
      <c r="H52" s="10" t="n">
        <v>30</v>
      </c>
      <c r="I52" s="10" t="inlineStr">
        <is>
          <t>No other record</t>
        </is>
      </c>
      <c r="J52" s="12" t="inlineStr">
        <is>
          <t>Warrant list p. 4</t>
        </is>
      </c>
      <c r="K52" s="10" t="inlineStr">
        <is>
          <t>https://nederlandco.civicweb.net/document/129316/</t>
        </is>
      </c>
    </row>
    <row r="53">
      <c r="A53" s="9" t="n">
        <v>46147</v>
      </c>
      <c r="B53" s="10" t="inlineStr">
        <is>
          <t>Sno.engineering</t>
        </is>
      </c>
      <c r="C53" s="10" t="inlineStr">
        <is>
          <t>SE Group</t>
        </is>
      </c>
      <c r="D53" s="10" t="inlineStr">
        <is>
          <t>7440</t>
        </is>
      </c>
      <c r="E53" s="9" t="n">
        <v>46112</v>
      </c>
      <c r="F53" s="11" t="n">
        <v>6081.25</v>
      </c>
      <c r="G53" s="10" t="inlineStr">
        <is>
          <t>Yes</t>
        </is>
      </c>
      <c r="H53" s="10" t="n">
        <v>35</v>
      </c>
      <c r="I53" s="10" t="inlineStr">
        <is>
          <t>Named in Board documents</t>
        </is>
      </c>
      <c r="J53" s="12" t="inlineStr">
        <is>
          <t>Warrant list p. 12</t>
        </is>
      </c>
      <c r="K53" s="10" t="inlineStr">
        <is>
          <t>https://nederlandco.civicweb.net/document/129316/</t>
        </is>
      </c>
    </row>
    <row r="54">
      <c r="A54" s="9" t="n">
        <v>46161</v>
      </c>
      <c r="B54" s="10" t="inlineStr">
        <is>
          <t>Datasite LLC</t>
        </is>
      </c>
      <c r="C54" s="10" t="inlineStr">
        <is>
          <t>Datasite</t>
        </is>
      </c>
      <c r="D54" s="10" t="inlineStr">
        <is>
          <t>INV-925469</t>
        </is>
      </c>
      <c r="E54" s="9" t="n">
        <v>46148</v>
      </c>
      <c r="F54" s="11" t="n">
        <v>200</v>
      </c>
      <c r="G54" s="10" t="inlineStr">
        <is>
          <t>Yes</t>
        </is>
      </c>
      <c r="H54" s="10" t="n">
        <v>13</v>
      </c>
      <c r="I54" s="10" t="inlineStr">
        <is>
          <t>No other record</t>
        </is>
      </c>
      <c r="J54" s="12" t="inlineStr">
        <is>
          <t>Warrant list p. 3</t>
        </is>
      </c>
      <c r="K54" s="10" t="inlineStr">
        <is>
          <t>https://nederlandco.civicweb.net/document/129629/</t>
        </is>
      </c>
    </row>
    <row r="55">
      <c r="A55" s="9" t="n">
        <v>46161</v>
      </c>
      <c r="B55" s="10" t="inlineStr">
        <is>
          <t>POWDR Corp</t>
        </is>
      </c>
      <c r="C55" s="10" t="inlineStr">
        <is>
          <t>POWDR Corp</t>
        </is>
      </c>
      <c r="D55" s="10" t="inlineStr">
        <is>
          <t>INV3475</t>
        </is>
      </c>
      <c r="E55" s="9" t="n">
        <v>46133</v>
      </c>
      <c r="F55" s="11" t="n">
        <v>10721</v>
      </c>
      <c r="G55" s="10" t="inlineStr">
        <is>
          <t>Yes</t>
        </is>
      </c>
      <c r="H55" s="10" t="n">
        <v>28</v>
      </c>
      <c r="I55" s="10" t="inlineStr">
        <is>
          <t>Named in Board documents</t>
        </is>
      </c>
      <c r="J55" s="12" t="inlineStr">
        <is>
          <t>Warrant list p. 3</t>
        </is>
      </c>
      <c r="K55" s="10" t="inlineStr">
        <is>
          <t>https://nederlandco.civicweb.net/document/129629/</t>
        </is>
      </c>
    </row>
    <row r="56">
      <c r="A56" s="9" t="n">
        <v>46175</v>
      </c>
      <c r="B56" s="10" t="inlineStr">
        <is>
          <t>Widner Juran LLP</t>
        </is>
      </c>
      <c r="C56" s="10" t="inlineStr">
        <is>
          <t>Widner Juran LLP</t>
        </is>
      </c>
      <c r="D56" s="10" t="inlineStr">
        <is>
          <t>46.0334</t>
        </is>
      </c>
      <c r="E56" s="9" t="n">
        <v>46142</v>
      </c>
      <c r="F56" s="11" t="n">
        <v>13375</v>
      </c>
      <c r="G56" s="10" t="inlineStr">
        <is>
          <t>Yes</t>
        </is>
      </c>
      <c r="H56" s="10" t="n">
        <v>33</v>
      </c>
      <c r="I56" s="10" t="inlineStr">
        <is>
          <t>Account coding only</t>
        </is>
      </c>
      <c r="J56" s="12" t="inlineStr">
        <is>
          <t>Warrant list p. 1</t>
        </is>
      </c>
      <c r="K56" s="10" t="inlineStr">
        <is>
          <t>https://nederlandco.civicweb.net/document/129902/</t>
        </is>
      </c>
    </row>
    <row r="57">
      <c r="A57" s="9" t="n">
        <v>46175</v>
      </c>
      <c r="B57" s="10" t="inlineStr">
        <is>
          <t>Sno.engineering</t>
        </is>
      </c>
      <c r="C57" s="10" t="inlineStr">
        <is>
          <t>SE Group</t>
        </is>
      </c>
      <c r="D57" s="10" t="inlineStr">
        <is>
          <t>7542</t>
        </is>
      </c>
      <c r="E57" s="9" t="n">
        <v>46149</v>
      </c>
      <c r="F57" s="11" t="n">
        <v>5413.5</v>
      </c>
      <c r="G57" s="10" t="inlineStr">
        <is>
          <t>Yes</t>
        </is>
      </c>
      <c r="H57" s="10" t="n">
        <v>26</v>
      </c>
      <c r="I57" s="10" t="inlineStr">
        <is>
          <t>Named in Board documents</t>
        </is>
      </c>
      <c r="J57" s="12" t="inlineStr">
        <is>
          <t>Warrant list p. 2</t>
        </is>
      </c>
      <c r="K57" s="10" t="inlineStr">
        <is>
          <t>https://nederlandco.civicweb.net/document/129902/</t>
        </is>
      </c>
    </row>
    <row r="58">
      <c r="A58" s="9" t="n">
        <v>46189</v>
      </c>
      <c r="B58" s="10" t="inlineStr">
        <is>
          <t>Sno.engineering</t>
        </is>
      </c>
      <c r="C58" s="10" t="inlineStr">
        <is>
          <t>SE Group</t>
        </is>
      </c>
      <c r="D58" s="10" t="inlineStr">
        <is>
          <t>7653</t>
        </is>
      </c>
      <c r="E58" s="9" t="n">
        <v>46177</v>
      </c>
      <c r="F58" s="11" t="n">
        <v>3188.5</v>
      </c>
      <c r="G58" s="10" t="inlineStr">
        <is>
          <t>Yes</t>
        </is>
      </c>
      <c r="H58" s="10" t="n">
        <v>12</v>
      </c>
      <c r="I58" s="10" t="inlineStr">
        <is>
          <t>Named in Board documents</t>
        </is>
      </c>
      <c r="J58" s="12" t="inlineStr">
        <is>
          <t>Warrant list p. 3</t>
        </is>
      </c>
      <c r="K58" s="10" t="inlineStr">
        <is>
          <t>https://nederlandco.civicweb.net/document/130036/</t>
        </is>
      </c>
    </row>
    <row r="59">
      <c r="A59" s="9" t="n"/>
      <c r="B59" s="10" t="inlineStr">
        <is>
          <t>P&amp;M Holding Group</t>
        </is>
      </c>
      <c r="C59" s="10" t="inlineStr">
        <is>
          <t>Plante Moran</t>
        </is>
      </c>
      <c r="D59" s="10" t="inlineStr">
        <is>
          <t>10693173</t>
        </is>
      </c>
      <c r="E59" s="9" t="n">
        <v>46153</v>
      </c>
      <c r="F59" s="11" t="n">
        <v>852.5</v>
      </c>
      <c r="G59" s="10" t="inlineStr">
        <is>
          <t>No</t>
        </is>
      </c>
      <c r="H59" s="10" t="n"/>
      <c r="I59" s="10" t="inlineStr">
        <is>
          <t>Named in Board documents</t>
        </is>
      </c>
      <c r="J59" s="12" t="inlineStr">
        <is>
          <t>Part of a $1,550 invoice. Moved into this account from Professional Services (10-12-5133) by a Town ledger entry dated May 11, 2026; first paid on the June 2, 2026, warrant list, p. 2 (https://nederlandco.civicweb.net/document/129902/); first in the account balance on the June 16, 2026, warrant list</t>
        </is>
      </c>
      <c r="K59" s="10" t="inlineStr">
        <is>
          <t>https://eldorarecord.org/records/2026-09-25-eldora-reimbursable-expenses.xls</t>
        </is>
      </c>
    </row>
    <row r="60">
      <c r="A60" s="9" t="n">
        <v>46210</v>
      </c>
      <c r="B60" s="10" t="inlineStr">
        <is>
          <t>Widner Juran LLP</t>
        </is>
      </c>
      <c r="C60" s="10" t="inlineStr">
        <is>
          <t>Widner Juran LLP</t>
        </is>
      </c>
      <c r="D60" s="10" t="inlineStr">
        <is>
          <t>46.0337</t>
        </is>
      </c>
      <c r="E60" s="9" t="n">
        <v>46173</v>
      </c>
      <c r="F60" s="11" t="n">
        <v>9430</v>
      </c>
      <c r="G60" s="10" t="inlineStr">
        <is>
          <t>Yes</t>
        </is>
      </c>
      <c r="H60" s="10" t="n">
        <v>37</v>
      </c>
      <c r="I60" s="10" t="inlineStr">
        <is>
          <t>Account coding only</t>
        </is>
      </c>
      <c r="J60" s="12" t="inlineStr">
        <is>
          <t>Warrant list p. 2</t>
        </is>
      </c>
      <c r="K60" s="10" t="inlineStr">
        <is>
          <t>https://nederlandco.civicweb.net/document/130431/</t>
        </is>
      </c>
    </row>
    <row r="61">
      <c r="A61" s="9" t="n">
        <v>46210</v>
      </c>
      <c r="B61" s="10" t="inlineStr">
        <is>
          <t>P&amp;M Holding Group</t>
        </is>
      </c>
      <c r="C61" s="10" t="inlineStr">
        <is>
          <t>Plante Moran</t>
        </is>
      </c>
      <c r="D61" s="10" t="inlineStr">
        <is>
          <t>10648406</t>
        </is>
      </c>
      <c r="E61" s="9" t="n">
        <v>46108</v>
      </c>
      <c r="F61" s="11" t="n">
        <v>11594.28</v>
      </c>
      <c r="G61" s="10" t="inlineStr">
        <is>
          <t>Yes</t>
        </is>
      </c>
      <c r="H61" s="10" t="n">
        <v>102</v>
      </c>
      <c r="I61" s="10" t="inlineStr">
        <is>
          <t>Named in Board documents</t>
        </is>
      </c>
      <c r="J61" s="12" t="inlineStr">
        <is>
          <t>Warrant list p. 2</t>
        </is>
      </c>
      <c r="K61" s="10" t="inlineStr">
        <is>
          <t>https://nederlandco.civicweb.net/document/130431/</t>
        </is>
      </c>
    </row>
    <row r="62">
      <c r="A62" s="9" t="n">
        <v>46210</v>
      </c>
      <c r="B62" s="10" t="inlineStr">
        <is>
          <t>P&amp;M Holding Group</t>
        </is>
      </c>
      <c r="C62" s="10" t="inlineStr">
        <is>
          <t>Plante Moran</t>
        </is>
      </c>
      <c r="D62" s="10" t="inlineStr">
        <is>
          <t>10662449</t>
        </is>
      </c>
      <c r="E62" s="9" t="n">
        <v>46129</v>
      </c>
      <c r="F62" s="11" t="n">
        <v>14476.86</v>
      </c>
      <c r="G62" s="10" t="inlineStr">
        <is>
          <t>Yes</t>
        </is>
      </c>
      <c r="H62" s="10" t="n">
        <v>81</v>
      </c>
      <c r="I62" s="10" t="inlineStr">
        <is>
          <t>Named in Board documents</t>
        </is>
      </c>
      <c r="J62" s="12" t="inlineStr">
        <is>
          <t>Warrant list p. 2</t>
        </is>
      </c>
      <c r="K62" s="10" t="inlineStr">
        <is>
          <t>https://nederlandco.civicweb.net/document/130431/</t>
        </is>
      </c>
    </row>
    <row r="63">
      <c r="A63" s="9" t="n">
        <v>46210</v>
      </c>
      <c r="B63" s="10" t="inlineStr">
        <is>
          <t>Datasite LLC</t>
        </is>
      </c>
      <c r="C63" s="10" t="inlineStr">
        <is>
          <t>Datasite</t>
        </is>
      </c>
      <c r="D63" s="10" t="inlineStr">
        <is>
          <t>INV-937295</t>
        </is>
      </c>
      <c r="E63" s="9" t="n">
        <v>46178</v>
      </c>
      <c r="F63" s="11" t="n">
        <v>200</v>
      </c>
      <c r="G63" s="10" t="inlineStr">
        <is>
          <t>Yes</t>
        </is>
      </c>
      <c r="H63" s="10" t="n">
        <v>32</v>
      </c>
      <c r="I63" s="10" t="inlineStr">
        <is>
          <t>No other record</t>
        </is>
      </c>
      <c r="J63" s="12" t="inlineStr">
        <is>
          <t>Warrant list p. 2</t>
        </is>
      </c>
      <c r="K63" s="10" t="inlineStr">
        <is>
          <t>https://nederlandco.civicweb.net/document/130431/</t>
        </is>
      </c>
    </row>
    <row r="64">
      <c r="A64" s="9" t="n">
        <v>46210</v>
      </c>
      <c r="B64" s="10" t="inlineStr">
        <is>
          <t>Kline Veio</t>
        </is>
      </c>
      <c r="C64" s="10" t="inlineStr">
        <is>
          <t>Kline Alvarado Veio</t>
        </is>
      </c>
      <c r="D64" s="10" t="inlineStr">
        <is>
          <t>2026-06-16</t>
        </is>
      </c>
      <c r="E64" s="9" t="n">
        <v>46189</v>
      </c>
      <c r="F64" s="11" t="n">
        <v>50000</v>
      </c>
      <c r="G64" s="10" t="inlineStr">
        <is>
          <t>Yes</t>
        </is>
      </c>
      <c r="H64" s="10" t="n">
        <v>21</v>
      </c>
      <c r="I64" s="10" t="inlineStr">
        <is>
          <t>Named in Board documents</t>
        </is>
      </c>
      <c r="J64" s="12" t="inlineStr">
        <is>
          <t>Warrant list p. 3</t>
        </is>
      </c>
      <c r="K64" s="10" t="inlineStr">
        <is>
          <t>https://nederlandco.civicweb.net/document/130431/</t>
        </is>
      </c>
    </row>
    <row r="65">
      <c r="A65" s="9" t="n">
        <v>46224</v>
      </c>
      <c r="B65" s="10" t="inlineStr">
        <is>
          <t>Widner Juran LLP</t>
        </is>
      </c>
      <c r="C65" s="10" t="inlineStr">
        <is>
          <t>Widner Juran LLP</t>
        </is>
      </c>
      <c r="D65" s="10" t="inlineStr">
        <is>
          <t>46.0341</t>
        </is>
      </c>
      <c r="E65" s="9" t="n">
        <v>46203</v>
      </c>
      <c r="F65" s="11" t="n">
        <v>6647</v>
      </c>
      <c r="G65" s="10" t="inlineStr">
        <is>
          <t>Yes</t>
        </is>
      </c>
      <c r="H65" s="10" t="n">
        <v>21</v>
      </c>
      <c r="I65" s="10" t="inlineStr">
        <is>
          <t>Account coding only</t>
        </is>
      </c>
      <c r="J65" s="12" t="inlineStr">
        <is>
          <t>Warrant list p. 2</t>
        </is>
      </c>
      <c r="K65" s="10" t="inlineStr">
        <is>
          <t>https://nederlandco.civicweb.net/document/130666/</t>
        </is>
      </c>
    </row>
    <row r="66">
      <c r="A66" s="9" t="n">
        <v>46224</v>
      </c>
      <c r="B66" s="10" t="inlineStr">
        <is>
          <t>P&amp;M Holding Group</t>
        </is>
      </c>
      <c r="C66" s="10" t="inlineStr">
        <is>
          <t>Plante Moran</t>
        </is>
      </c>
      <c r="D66" s="10" t="inlineStr">
        <is>
          <t>10590077</t>
        </is>
      </c>
      <c r="E66" s="9" t="n">
        <v>45995</v>
      </c>
      <c r="F66" s="11" t="n">
        <v>69000</v>
      </c>
      <c r="G66" s="10" t="inlineStr">
        <is>
          <t>Yes</t>
        </is>
      </c>
      <c r="H66" s="10" t="n">
        <v>229</v>
      </c>
      <c r="I66" s="10" t="inlineStr">
        <is>
          <t>Named in Board documents</t>
        </is>
      </c>
      <c r="J66" s="12" t="inlineStr">
        <is>
          <t>Warrant list p. 4</t>
        </is>
      </c>
      <c r="K66" s="10" t="inlineStr">
        <is>
          <t>https://nederlandco.civicweb.net/document/130666/</t>
        </is>
      </c>
    </row>
    <row r="67">
      <c r="A67" s="9" t="n">
        <v>46224</v>
      </c>
      <c r="B67" s="10" t="inlineStr">
        <is>
          <t>P&amp;M Holding Group</t>
        </is>
      </c>
      <c r="C67" s="10" t="inlineStr">
        <is>
          <t>Plante Moran</t>
        </is>
      </c>
      <c r="D67" s="10" t="inlineStr">
        <is>
          <t>10615477</t>
        </is>
      </c>
      <c r="E67" s="9" t="n">
        <v>46052</v>
      </c>
      <c r="F67" s="11" t="n">
        <v>3000</v>
      </c>
      <c r="G67" s="10" t="inlineStr">
        <is>
          <t>Yes</t>
        </is>
      </c>
      <c r="H67" s="10" t="n">
        <v>172</v>
      </c>
      <c r="I67" s="10" t="inlineStr">
        <is>
          <t>Named in Board documents</t>
        </is>
      </c>
      <c r="J67" s="12" t="inlineStr">
        <is>
          <t>Warrant list p. 4</t>
        </is>
      </c>
      <c r="K67" s="10" t="inlineStr">
        <is>
          <t>https://nederlandco.civicweb.net/document/130666/</t>
        </is>
      </c>
    </row>
    <row r="68">
      <c r="A68" s="9" t="n">
        <v>46224</v>
      </c>
      <c r="B68" s="10" t="inlineStr">
        <is>
          <t>Datasite LLC</t>
        </is>
      </c>
      <c r="C68" s="10" t="inlineStr">
        <is>
          <t>Datasite</t>
        </is>
      </c>
      <c r="D68" s="10" t="inlineStr">
        <is>
          <t>INV-948898</t>
        </is>
      </c>
      <c r="E68" s="9" t="n">
        <v>46208</v>
      </c>
      <c r="F68" s="11" t="n">
        <v>200</v>
      </c>
      <c r="G68" s="10" t="inlineStr">
        <is>
          <t>Yes</t>
        </is>
      </c>
      <c r="H68" s="10" t="n">
        <v>16</v>
      </c>
      <c r="I68" s="10" t="inlineStr">
        <is>
          <t>No other record</t>
        </is>
      </c>
      <c r="J68" s="12" t="inlineStr">
        <is>
          <t>Warrant list p. 4</t>
        </is>
      </c>
      <c r="K68" s="10" t="inlineStr">
        <is>
          <t>https://nederlandco.civicweb.net/document/130666/</t>
        </is>
      </c>
    </row>
    <row r="69">
      <c r="A69" s="9" t="n">
        <v>46224</v>
      </c>
      <c r="B69" s="10" t="inlineStr">
        <is>
          <t>Hogan Lovells US LLP</t>
        </is>
      </c>
      <c r="C69" s="10" t="inlineStr">
        <is>
          <t>Hogan Lovells</t>
        </is>
      </c>
      <c r="D69" s="10" t="inlineStr">
        <is>
          <t>18800033124</t>
        </is>
      </c>
      <c r="E69" s="9" t="n">
        <v>46197</v>
      </c>
      <c r="F69" s="11" t="n">
        <v>148314.5</v>
      </c>
      <c r="G69" s="10" t="inlineStr">
        <is>
          <t>Yes</t>
        </is>
      </c>
      <c r="H69" s="10" t="n">
        <v>27</v>
      </c>
      <c r="I69" s="10" t="inlineStr">
        <is>
          <t>No other record</t>
        </is>
      </c>
      <c r="J69" s="12" t="inlineStr">
        <is>
          <t>Warrant list p. 4</t>
        </is>
      </c>
      <c r="K69" s="10" t="inlineStr">
        <is>
          <t>https://nederlandco.civicweb.net/document/130666/</t>
        </is>
      </c>
    </row>
    <row r="70">
      <c r="A70" s="9" t="n">
        <v>46252</v>
      </c>
      <c r="B70" s="10" t="inlineStr">
        <is>
          <t>Hogan Lovells US LLP</t>
        </is>
      </c>
      <c r="C70" s="10" t="inlineStr">
        <is>
          <t>Hogan Lovells</t>
        </is>
      </c>
      <c r="D70" s="10" t="inlineStr">
        <is>
          <t>18800033259</t>
        </is>
      </c>
      <c r="E70" s="9" t="n">
        <v>46230</v>
      </c>
      <c r="F70" s="11" t="n">
        <v>480</v>
      </c>
      <c r="G70" s="10" t="inlineStr">
        <is>
          <t>Yes</t>
        </is>
      </c>
      <c r="H70" s="10" t="n">
        <v>22</v>
      </c>
      <c r="I70" s="10" t="inlineStr">
        <is>
          <t>No other record</t>
        </is>
      </c>
      <c r="J70" s="12" t="inlineStr">
        <is>
          <t>Warrant list p. 4</t>
        </is>
      </c>
      <c r="K70" s="10" t="inlineStr">
        <is>
          <t>https://nederlandco.civicweb.net/document/131332/</t>
        </is>
      </c>
    </row>
    <row r="71">
      <c r="A71" s="9" t="n">
        <v>46280</v>
      </c>
      <c r="B71" s="10" t="inlineStr">
        <is>
          <t>Widner Juran LLP</t>
        </is>
      </c>
      <c r="C71" s="10" t="inlineStr">
        <is>
          <t>Widner Juran LLP</t>
        </is>
      </c>
      <c r="D71" s="10" t="inlineStr">
        <is>
          <t>46.0345</t>
        </is>
      </c>
      <c r="E71" s="9" t="n">
        <v>46234</v>
      </c>
      <c r="F71" s="11" t="n">
        <v>6141</v>
      </c>
      <c r="G71" s="10" t="inlineStr">
        <is>
          <t>Yes</t>
        </is>
      </c>
      <c r="H71" s="10" t="n">
        <v>46</v>
      </c>
      <c r="I71" s="10" t="inlineStr">
        <is>
          <t>Account coding only</t>
        </is>
      </c>
      <c r="J71" s="12" t="inlineStr">
        <is>
          <t>Warrant list p. 1</t>
        </is>
      </c>
      <c r="K71" s="10" t="inlineStr">
        <is>
          <t>https://nederlandco.civicweb.net/document/132029/</t>
        </is>
      </c>
    </row>
    <row r="72">
      <c r="A72" s="9" t="n">
        <v>46280</v>
      </c>
      <c r="B72" s="10" t="inlineStr">
        <is>
          <t>Datasite LLC</t>
        </is>
      </c>
      <c r="C72" s="10" t="inlineStr">
        <is>
          <t>Datasite</t>
        </is>
      </c>
      <c r="D72" s="10" t="inlineStr">
        <is>
          <t>INV-960174</t>
        </is>
      </c>
      <c r="E72" s="9" t="n">
        <v>46239</v>
      </c>
      <c r="F72" s="11" t="n">
        <v>200</v>
      </c>
      <c r="G72" s="10" t="inlineStr">
        <is>
          <t>Yes</t>
        </is>
      </c>
      <c r="H72" s="10" t="n">
        <v>41</v>
      </c>
      <c r="I72" s="10" t="inlineStr">
        <is>
          <t>No other record</t>
        </is>
      </c>
      <c r="J72" s="12" t="inlineStr">
        <is>
          <t>Warrant list p. 2</t>
        </is>
      </c>
      <c r="K72" s="10" t="inlineStr">
        <is>
          <t>https://nederlandco.civicweb.net/document/132029/</t>
        </is>
      </c>
    </row>
    <row r="73">
      <c r="A73" s="9" t="n">
        <v>46301</v>
      </c>
      <c r="B73" s="10" t="inlineStr">
        <is>
          <t>Datasite LLC</t>
        </is>
      </c>
      <c r="C73" s="10" t="inlineStr">
        <is>
          <t>Datasite</t>
        </is>
      </c>
      <c r="D73" s="10" t="inlineStr">
        <is>
          <t>INV-972436</t>
        </is>
      </c>
      <c r="E73" s="9" t="n">
        <v>46273</v>
      </c>
      <c r="F73" s="11" t="n">
        <v>200</v>
      </c>
      <c r="G73" s="10" t="inlineStr">
        <is>
          <t>Yes</t>
        </is>
      </c>
      <c r="H73" s="10" t="n">
        <v>28</v>
      </c>
      <c r="I73" s="10" t="inlineStr">
        <is>
          <t>No other record</t>
        </is>
      </c>
      <c r="J73" s="12" t="inlineStr">
        <is>
          <t>Warrant list p. 4</t>
        </is>
      </c>
      <c r="K73" s="10" t="inlineStr">
        <is>
          <t>https://nederlandco.civicweb.net/document/132341/</t>
        </is>
      </c>
    </row>
    <row r="74">
      <c r="A74" s="9" t="n">
        <v>46301</v>
      </c>
      <c r="B74" s="10" t="inlineStr">
        <is>
          <t>Widner Juran LLP</t>
        </is>
      </c>
      <c r="C74" s="10" t="inlineStr">
        <is>
          <t>Widner Juran LLP</t>
        </is>
      </c>
      <c r="D74" s="10" t="inlineStr">
        <is>
          <t>46.0347</t>
        </is>
      </c>
      <c r="E74" s="9" t="n">
        <v>46265</v>
      </c>
      <c r="F74" s="11" t="n">
        <v>2645</v>
      </c>
      <c r="G74" s="10" t="inlineStr">
        <is>
          <t>Yes</t>
        </is>
      </c>
      <c r="H74" s="10" t="n">
        <v>36</v>
      </c>
      <c r="I74" s="10" t="inlineStr">
        <is>
          <t>Account coding only</t>
        </is>
      </c>
      <c r="J74" s="12" t="inlineStr">
        <is>
          <t>Warrant list p. 11</t>
        </is>
      </c>
      <c r="K74" s="10" t="inlineStr">
        <is>
          <t>https://nederlandco.civicweb.net/document/132341/</t>
        </is>
      </c>
    </row>
    <row r="75">
      <c r="A75" s="9" t="n">
        <v>46301</v>
      </c>
      <c r="B75" s="10" t="inlineStr">
        <is>
          <t>Partner Assessment Corporation</t>
        </is>
      </c>
      <c r="C75" s="10" t="inlineStr">
        <is>
          <t>Partner Engineering and Science</t>
        </is>
      </c>
      <c r="D75" s="10" t="inlineStr">
        <is>
          <t>IN508846-1</t>
        </is>
      </c>
      <c r="E75" s="9" t="n">
        <v>45930</v>
      </c>
      <c r="F75" s="11" t="n">
        <v>21000</v>
      </c>
      <c r="G75" s="10" t="inlineStr">
        <is>
          <t>Yes</t>
        </is>
      </c>
      <c r="H75" s="10" t="n">
        <v>371</v>
      </c>
      <c r="I75" s="10" t="inlineStr">
        <is>
          <t>No other record</t>
        </is>
      </c>
      <c r="J75" s="12" t="inlineStr">
        <is>
          <t>Warrant list p. 12</t>
        </is>
      </c>
      <c r="K75" s="10" t="inlineStr">
        <is>
          <t>https://nederlandco.civicweb.net/document/132341/</t>
        </is>
      </c>
    </row>
    <row r="76">
      <c r="A76" s="9" t="n">
        <v>46301</v>
      </c>
      <c r="B76" s="10" t="inlineStr">
        <is>
          <t>Partner Assessment Corporation</t>
        </is>
      </c>
      <c r="C76" s="10" t="inlineStr">
        <is>
          <t>Partner Engineering and Science</t>
        </is>
      </c>
      <c r="D76" s="10" t="inlineStr">
        <is>
          <t>IN508846-2</t>
        </is>
      </c>
      <c r="E76" s="9" t="n">
        <v>46022</v>
      </c>
      <c r="F76" s="11" t="n">
        <v>22000</v>
      </c>
      <c r="G76" s="10" t="inlineStr">
        <is>
          <t>Yes</t>
        </is>
      </c>
      <c r="H76" s="10" t="n">
        <v>279</v>
      </c>
      <c r="I76" s="10" t="inlineStr">
        <is>
          <t>No other record</t>
        </is>
      </c>
      <c r="J76" s="12" t="inlineStr">
        <is>
          <t>Warrant list p. 12</t>
        </is>
      </c>
      <c r="K76" s="10" t="inlineStr">
        <is>
          <t>https://nederlandco.civicweb.net/document/132341/</t>
        </is>
      </c>
    </row>
    <row r="77">
      <c r="A77" s="9" t="n">
        <v>46315</v>
      </c>
      <c r="B77" s="10" t="inlineStr">
        <is>
          <t>Datasite LLC</t>
        </is>
      </c>
      <c r="C77" s="10" t="inlineStr">
        <is>
          <t>Datasite</t>
        </is>
      </c>
      <c r="D77" s="10" t="inlineStr">
        <is>
          <t>INV-983770</t>
        </is>
      </c>
      <c r="E77" s="9" t="n">
        <v>46303</v>
      </c>
      <c r="F77" s="11" t="n">
        <v>200</v>
      </c>
      <c r="G77" s="10" t="inlineStr">
        <is>
          <t>Yes</t>
        </is>
      </c>
      <c r="H77" s="10" t="n">
        <v>12</v>
      </c>
      <c r="I77" s="10" t="inlineStr">
        <is>
          <t>No other record</t>
        </is>
      </c>
      <c r="J77" s="12" t="inlineStr">
        <is>
          <t>Warrant list p. 4</t>
        </is>
      </c>
      <c r="K77" s="10" t="inlineStr">
        <is>
          <t>https://nederlandco.civicweb.net/document/132740/</t>
        </is>
      </c>
    </row>
  </sheetData>
  <autoFilter ref="A1:K77"/>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4" customWidth="1" min="3" max="3"/>
    <col width="16" customWidth="1" min="4" max="4"/>
    <col width="70" customWidth="1" min="5" max="5"/>
    <col width="14" customWidth="1" min="6" max="6"/>
    <col width="48" customWidth="1" min="7" max="7"/>
  </cols>
  <sheetData>
    <row r="1">
      <c r="A1" s="4" t="inlineStr">
        <is>
          <t>After list of</t>
        </is>
      </c>
      <c r="B1" s="4" t="inlineStr">
        <is>
          <t>Before list of</t>
        </is>
      </c>
      <c r="C1" s="4" t="inlineStr">
        <is>
          <t>Amount</t>
        </is>
      </c>
      <c r="D1" s="4" t="inlineStr">
        <is>
          <t>Attributed to</t>
        </is>
      </c>
      <c r="E1" s="4" t="inlineStr">
        <is>
          <t>What is known</t>
        </is>
      </c>
      <c r="F1" s="4" t="inlineStr">
        <is>
          <t>Source</t>
        </is>
      </c>
      <c r="G1" s="4" t="inlineStr">
        <is>
          <t>Source URL</t>
        </is>
      </c>
    </row>
    <row r="2">
      <c r="A2" s="9" t="n">
        <v>45951</v>
      </c>
      <c r="B2" s="9" t="n">
        <v>45966</v>
      </c>
      <c r="C2" s="11" t="n">
        <v>6440</v>
      </c>
      <c r="D2" s="10" t="inlineStr">
        <is>
          <t>Widner Juran LLP</t>
        </is>
      </c>
      <c r="E2" s="5" t="inlineStr">
        <is>
          <t>Moved into this account from Legal (10-12-5100) by a Town ledger entry dated Sept 30, 2025. Invoice 46.0292 first paid on the Feb. 18, 2025, warrant list</t>
        </is>
      </c>
      <c r="F2" s="13" t="inlineStr">
        <is>
          <t>Town ledger</t>
        </is>
      </c>
      <c r="G2" s="10" t="inlineStr">
        <is>
          <t>https://eldorarecord.org/records/2026-09-25-eldora-reimbursable-expenses.xls</t>
        </is>
      </c>
    </row>
    <row r="3">
      <c r="A3" s="9" t="n">
        <v>45951</v>
      </c>
      <c r="B3" s="9" t="n">
        <v>45966</v>
      </c>
      <c r="C3" s="11" t="n">
        <v>1505</v>
      </c>
      <c r="D3" s="10" t="inlineStr">
        <is>
          <t>Widner Juran LLP</t>
        </is>
      </c>
      <c r="E3" s="5" t="inlineStr">
        <is>
          <t>Moved into this account from Legal (10-12-5100) by a Town ledger entry dated Sept 30, 2025. Invoice 46.0294 first paid on the April 15, 2025, warrant list</t>
        </is>
      </c>
      <c r="F3" s="13" t="inlineStr">
        <is>
          <t>Town ledger</t>
        </is>
      </c>
      <c r="G3" s="10" t="inlineStr">
        <is>
          <t>https://eldorarecord.org/records/2026-09-25-eldora-reimbursable-expenses.xls</t>
        </is>
      </c>
    </row>
    <row r="4">
      <c r="A4" s="9" t="n">
        <v>45951</v>
      </c>
      <c r="B4" s="9" t="n">
        <v>45966</v>
      </c>
      <c r="C4" s="11" t="n">
        <v>1295</v>
      </c>
      <c r="D4" s="10" t="inlineStr">
        <is>
          <t>Widner Juran LLP</t>
        </is>
      </c>
      <c r="E4" s="5" t="inlineStr">
        <is>
          <t>Moved into this account from Legal (10-12-5100) by a Town ledger entry dated Sept 30, 2025. Invoice 46.0297 first paid on the May 6, 2025, warrant list</t>
        </is>
      </c>
      <c r="F4" s="13" t="inlineStr">
        <is>
          <t>Town ledger</t>
        </is>
      </c>
      <c r="G4" s="10" t="inlineStr">
        <is>
          <t>https://eldorarecord.org/records/2026-09-25-eldora-reimbursable-expenses.xls</t>
        </is>
      </c>
    </row>
    <row r="5">
      <c r="A5" s="9" t="n">
        <v>45951</v>
      </c>
      <c r="B5" s="9" t="n">
        <v>45966</v>
      </c>
      <c r="C5" s="11" t="n">
        <v>2747.5</v>
      </c>
      <c r="D5" s="10" t="inlineStr">
        <is>
          <t>Widner Juran LLP</t>
        </is>
      </c>
      <c r="E5" s="5" t="inlineStr">
        <is>
          <t>Moved into this account from Legal (10-12-5100) by a Town ledger entry dated Sept 30, 2025. Invoice 46.0301 first paid on the May 20, 2025, warrant list</t>
        </is>
      </c>
      <c r="F5" s="13" t="inlineStr">
        <is>
          <t>Town ledger</t>
        </is>
      </c>
      <c r="G5" s="10" t="inlineStr">
        <is>
          <t>https://eldorarecord.org/records/2026-09-25-eldora-reimbursable-expenses.xls</t>
        </is>
      </c>
    </row>
    <row r="6">
      <c r="A6" s="9" t="n">
        <v>45951</v>
      </c>
      <c r="B6" s="9" t="n">
        <v>45966</v>
      </c>
      <c r="C6" s="11" t="n">
        <v>9954</v>
      </c>
      <c r="D6" s="10" t="inlineStr">
        <is>
          <t>Widner Juran LLP</t>
        </is>
      </c>
      <c r="E6" s="5" t="inlineStr">
        <is>
          <t>Moved into this account from Legal (10-12-5100) by a Town ledger entry dated Sept 30, 2025. Invoice 46.0303 first paid on the June 17, 2025, warrant list</t>
        </is>
      </c>
      <c r="F6" s="13" t="inlineStr">
        <is>
          <t>Town ledger</t>
        </is>
      </c>
      <c r="G6" s="10" t="inlineStr">
        <is>
          <t>https://eldorarecord.org/records/2026-09-25-eldora-reimbursable-expenses.xls</t>
        </is>
      </c>
    </row>
    <row r="7">
      <c r="A7" s="9" t="n">
        <v>45951</v>
      </c>
      <c r="B7" s="9" t="n">
        <v>45966</v>
      </c>
      <c r="C7" s="11" t="n">
        <v>5162.5</v>
      </c>
      <c r="D7" s="10" t="inlineStr">
        <is>
          <t>Widner Juran LLP</t>
        </is>
      </c>
      <c r="E7" s="5" t="inlineStr">
        <is>
          <t>Moved into this account from Legal (10-12-5100) by a Town ledger entry dated Sept 30, 2025. Invoice 46.0304 first paid on the Aug. 5, 2025, warrant list</t>
        </is>
      </c>
      <c r="F7" s="13" t="inlineStr">
        <is>
          <t>Town ledger</t>
        </is>
      </c>
      <c r="G7" s="10" t="inlineStr">
        <is>
          <t>https://eldorarecord.org/records/2026-09-25-eldora-reimbursable-expenses.xls</t>
        </is>
      </c>
    </row>
    <row r="8">
      <c r="A8" s="9" t="n">
        <v>45951</v>
      </c>
      <c r="B8" s="9" t="n">
        <v>45966</v>
      </c>
      <c r="C8" s="11" t="n">
        <v>19106.5</v>
      </c>
      <c r="D8" s="10" t="inlineStr">
        <is>
          <t>Widner Juran LLP</t>
        </is>
      </c>
      <c r="E8" s="5" t="inlineStr">
        <is>
          <t>Moved into this account from Legal (10-12-5100) by a Town ledger entry dated Sept 30, 2025. Invoice 46.0307 first paid on the Sept. 2, 2025, warrant list</t>
        </is>
      </c>
      <c r="F8" s="13" t="inlineStr">
        <is>
          <t>Town ledger</t>
        </is>
      </c>
      <c r="G8" s="10" t="inlineStr">
        <is>
          <t>https://eldorarecord.org/records/2026-09-25-eldora-reimbursable-expenses.xls</t>
        </is>
      </c>
    </row>
    <row r="9">
      <c r="A9" s="9" t="n">
        <v>45951</v>
      </c>
      <c r="B9" s="9" t="n">
        <v>45966</v>
      </c>
      <c r="C9" s="11" t="n">
        <v>9680</v>
      </c>
      <c r="D9" s="10" t="inlineStr">
        <is>
          <t>Dickinson Wright</t>
        </is>
      </c>
      <c r="E9" s="5" t="inlineStr">
        <is>
          <t>Moved into this account from Legal (10-12-5100) by a Town ledger entry dated Sept 30, 2025. Invoice 2070334 first paid on the Oct. 7, 2025, warrant list</t>
        </is>
      </c>
      <c r="F9" s="13" t="inlineStr">
        <is>
          <t>Town ledger</t>
        </is>
      </c>
      <c r="G9" s="10" t="inlineStr">
        <is>
          <t>https://eldorarecord.org/records/2026-09-25-eldora-reimbursable-expenses.xls</t>
        </is>
      </c>
    </row>
    <row r="10">
      <c r="A10" s="9" t="n">
        <v>46070</v>
      </c>
      <c r="B10" s="9" t="n">
        <v>46084</v>
      </c>
      <c r="C10" s="11" t="n">
        <v>50000</v>
      </c>
      <c r="D10" s="10" t="inlineStr">
        <is>
          <t>POWDR Corp</t>
        </is>
      </c>
      <c r="E10" s="5" t="inlineStr">
        <is>
          <t>In the Town ledger (invoice dated Jan 6, 2026); on no warrant list. Purpose not stated. A letter of the same date provides for a $50,000 advance to POWDR toward Ikon negotiation costs</t>
        </is>
      </c>
      <c r="F10" s="13" t="inlineStr">
        <is>
          <t>Town ledger</t>
        </is>
      </c>
      <c r="G10" s="10" t="inlineStr">
        <is>
          <t>https://eldorarecord.org/records/2026-09-25-eldora-reimbursable-expenses.xls</t>
        </is>
      </c>
    </row>
    <row r="11">
      <c r="A11" s="9" t="n">
        <v>46175</v>
      </c>
      <c r="B11" s="9" t="n">
        <v>46189</v>
      </c>
      <c r="C11" s="11" t="n">
        <v>852.5</v>
      </c>
      <c r="D11" s="10" t="inlineStr">
        <is>
          <t>Plante Moran</t>
        </is>
      </c>
      <c r="E11" s="5" t="inlineStr">
        <is>
          <t>Part of a $1,550 invoice. Moved into this account from Professional Services (10-12-5133) by a Town ledger entry dated May 11, 2026. Invoice 10693173 first paid on the June 2, 2026, warrant list</t>
        </is>
      </c>
      <c r="F11" s="13" t="inlineStr">
        <is>
          <t>Town ledger</t>
        </is>
      </c>
      <c r="G11" s="10" t="inlineStr">
        <is>
          <t>https://eldorarecord.org/records/2026-09-25-eldora-reimbursable-expenses.xls</t>
        </is>
      </c>
    </row>
  </sheetData>
  <autoFilter ref="A1:G1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6" customWidth="1" min="3" max="3"/>
    <col width="16" customWidth="1" min="4" max="4"/>
    <col width="14" customWidth="1" min="5" max="5"/>
    <col width="14" customWidth="1" min="6" max="6"/>
    <col width="48" customWidth="1" min="7" max="7"/>
  </cols>
  <sheetData>
    <row r="1">
      <c r="A1" s="4" t="inlineStr">
        <is>
          <t>Warrant list date</t>
        </is>
      </c>
      <c r="B1" s="4" t="inlineStr">
        <is>
          <t>Balance after list</t>
        </is>
      </c>
      <c r="C1" s="4" t="inlineStr">
        <is>
          <t>Change since previous list</t>
        </is>
      </c>
      <c r="D1" s="4" t="inlineStr">
        <is>
          <t>Invoices on this list</t>
        </is>
      </c>
      <c r="E1" s="4" t="inlineStr">
        <is>
          <t>Not on the list</t>
        </is>
      </c>
      <c r="F1" s="4" t="inlineStr">
        <is>
          <t>Source</t>
        </is>
      </c>
      <c r="G1" s="4" t="inlineStr">
        <is>
          <t>Source URL</t>
        </is>
      </c>
    </row>
    <row r="2">
      <c r="A2" s="9" t="n">
        <v>45937</v>
      </c>
      <c r="B2" s="11" t="n">
        <v>67492.03999999999</v>
      </c>
      <c r="C2" s="11">
        <f>B2</f>
        <v/>
      </c>
      <c r="D2" s="11">
        <f>SUMIFS(Payments!$F$2:$F$77,Payments!$A$2:$A$77,A2,Payments!$G$2:$G$77,"Yes")</f>
        <v/>
      </c>
      <c r="E2" s="11">
        <f>C2-D2</f>
        <v/>
      </c>
      <c r="F2" s="13" t="inlineStr">
        <is>
          <t>Warrant list</t>
        </is>
      </c>
      <c r="G2" s="10" t="inlineStr">
        <is>
          <t>https://nederlandco.civicweb.net/document/124842/</t>
        </is>
      </c>
    </row>
    <row r="3">
      <c r="A3" s="9" t="n">
        <v>45951</v>
      </c>
      <c r="B3" s="11" t="n">
        <v>167130.22</v>
      </c>
      <c r="C3" s="11">
        <f>B3-B2</f>
        <v/>
      </c>
      <c r="D3" s="11">
        <f>SUMIFS(Payments!$F$2:$F$77,Payments!$A$2:$A$77,A3,Payments!$G$2:$G$77,"Yes")</f>
        <v/>
      </c>
      <c r="E3" s="11">
        <f>C3-D3</f>
        <v/>
      </c>
      <c r="F3" s="13" t="inlineStr">
        <is>
          <t>Warrant list</t>
        </is>
      </c>
      <c r="G3" s="10" t="inlineStr">
        <is>
          <t>https://nederlandco.civicweb.net/document/125193/</t>
        </is>
      </c>
    </row>
    <row r="4">
      <c r="A4" s="9" t="n">
        <v>45966</v>
      </c>
      <c r="B4" s="11" t="n">
        <v>236212.02</v>
      </c>
      <c r="C4" s="11">
        <f>B4-B3</f>
        <v/>
      </c>
      <c r="D4" s="11">
        <f>SUMIFS(Payments!$F$2:$F$77,Payments!$A$2:$A$77,A4,Payments!$G$2:$G$77,"Yes")</f>
        <v/>
      </c>
      <c r="E4" s="11">
        <f>C4-D4</f>
        <v/>
      </c>
      <c r="F4" s="13" t="inlineStr">
        <is>
          <t>Warrant list</t>
        </is>
      </c>
      <c r="G4" s="10" t="inlineStr">
        <is>
          <t>https://nederlandco.civicweb.net/document/125512/</t>
        </is>
      </c>
    </row>
    <row r="5">
      <c r="A5" s="9" t="n">
        <v>45979</v>
      </c>
      <c r="B5" s="11" t="n">
        <v>274415.72</v>
      </c>
      <c r="C5" s="11">
        <f>B5-B4</f>
        <v/>
      </c>
      <c r="D5" s="11">
        <f>SUMIFS(Payments!$F$2:$F$77,Payments!$A$2:$A$77,A5,Payments!$G$2:$G$77,"Yes")</f>
        <v/>
      </c>
      <c r="E5" s="11">
        <f>C5-D5</f>
        <v/>
      </c>
      <c r="F5" s="13" t="inlineStr">
        <is>
          <t>Warrant list</t>
        </is>
      </c>
      <c r="G5" s="10" t="inlineStr">
        <is>
          <t>https://nederlandco.civicweb.net/document/125911/</t>
        </is>
      </c>
    </row>
    <row r="6">
      <c r="A6" s="9" t="n">
        <v>45993</v>
      </c>
      <c r="B6" s="11" t="n">
        <v>364566.72</v>
      </c>
      <c r="C6" s="11">
        <f>B6-B5</f>
        <v/>
      </c>
      <c r="D6" s="11">
        <f>SUMIFS(Payments!$F$2:$F$77,Payments!$A$2:$A$77,A6,Payments!$G$2:$G$77,"Yes")</f>
        <v/>
      </c>
      <c r="E6" s="11">
        <f>C6-D6</f>
        <v/>
      </c>
      <c r="F6" s="13" t="inlineStr">
        <is>
          <t>Warrant list</t>
        </is>
      </c>
      <c r="G6" s="10" t="inlineStr">
        <is>
          <t>https://nederlandco.civicweb.net/document/126169/</t>
        </is>
      </c>
    </row>
    <row r="7">
      <c r="A7" s="9" t="n">
        <v>46007</v>
      </c>
      <c r="B7" s="11" t="n">
        <v>370840.72</v>
      </c>
      <c r="C7" s="11">
        <f>B7-B6</f>
        <v/>
      </c>
      <c r="D7" s="11">
        <f>SUMIFS(Payments!$F$2:$F$77,Payments!$A$2:$A$77,A7,Payments!$G$2:$G$77,"Yes")</f>
        <v/>
      </c>
      <c r="E7" s="11">
        <f>C7-D7</f>
        <v/>
      </c>
      <c r="F7" s="13" t="inlineStr">
        <is>
          <t>Warrant list</t>
        </is>
      </c>
      <c r="G7" s="10" t="inlineStr">
        <is>
          <t>https://nederlandco.civicweb.net/document/126508/</t>
        </is>
      </c>
    </row>
    <row r="8">
      <c r="A8" s="9" t="n">
        <v>46042</v>
      </c>
      <c r="B8" s="11" t="n">
        <v>469493</v>
      </c>
      <c r="C8" s="11">
        <f>B8-B7</f>
        <v/>
      </c>
      <c r="D8" s="11">
        <f>SUMIFS(Payments!$F$2:$F$77,Payments!$A$2:$A$77,A8,Payments!$G$2:$G$77,"Yes")</f>
        <v/>
      </c>
      <c r="E8" s="11">
        <f>C8-D8</f>
        <v/>
      </c>
      <c r="F8" s="13" t="inlineStr">
        <is>
          <t>Warrant list</t>
        </is>
      </c>
      <c r="G8" s="10" t="inlineStr">
        <is>
          <t>https://nederlandco.civicweb.net/document/127156/</t>
        </is>
      </c>
    </row>
    <row r="9">
      <c r="A9" s="9" t="n">
        <v>46056</v>
      </c>
      <c r="B9" s="11" t="n">
        <v>497805</v>
      </c>
      <c r="C9" s="11">
        <f>B9-B8</f>
        <v/>
      </c>
      <c r="D9" s="11">
        <f>SUMIFS(Payments!$F$2:$F$77,Payments!$A$2:$A$77,A9,Payments!$G$2:$G$77,"Yes")</f>
        <v/>
      </c>
      <c r="E9" s="11">
        <f>C9-D9</f>
        <v/>
      </c>
      <c r="F9" s="13" t="inlineStr">
        <is>
          <t>Warrant list</t>
        </is>
      </c>
      <c r="G9" s="10" t="inlineStr">
        <is>
          <t>https://nederlandco.civicweb.net/document/127394/</t>
        </is>
      </c>
    </row>
    <row r="10">
      <c r="A10" s="9" t="n">
        <v>46070</v>
      </c>
      <c r="B10" s="11" t="n">
        <v>536294.79</v>
      </c>
      <c r="C10" s="11">
        <f>B10-B9</f>
        <v/>
      </c>
      <c r="D10" s="11">
        <f>SUMIFS(Payments!$F$2:$F$77,Payments!$A$2:$A$77,A10,Payments!$G$2:$G$77,"Yes")</f>
        <v/>
      </c>
      <c r="E10" s="11">
        <f>C10-D10</f>
        <v/>
      </c>
      <c r="F10" s="13" t="inlineStr">
        <is>
          <t>Warrant list</t>
        </is>
      </c>
      <c r="G10" s="10" t="inlineStr">
        <is>
          <t>https://nederlandco.civicweb.net/document/127711/</t>
        </is>
      </c>
    </row>
    <row r="11">
      <c r="A11" s="9" t="n">
        <v>46084</v>
      </c>
      <c r="B11" s="11" t="n">
        <v>710294.79</v>
      </c>
      <c r="C11" s="11">
        <f>B11-B10</f>
        <v/>
      </c>
      <c r="D11" s="11">
        <f>SUMIFS(Payments!$F$2:$F$77,Payments!$A$2:$A$77,A11,Payments!$G$2:$G$77,"Yes")</f>
        <v/>
      </c>
      <c r="E11" s="11">
        <f>C11-D11</f>
        <v/>
      </c>
      <c r="F11" s="13" t="inlineStr">
        <is>
          <t>Warrant list</t>
        </is>
      </c>
      <c r="G11" s="10" t="inlineStr">
        <is>
          <t>https://nederlandco.civicweb.net/document/128049/</t>
        </is>
      </c>
    </row>
    <row r="12">
      <c r="A12" s="9" t="n">
        <v>46112</v>
      </c>
      <c r="B12" s="11" t="n">
        <v>756621.99</v>
      </c>
      <c r="C12" s="11">
        <f>B12-B11</f>
        <v/>
      </c>
      <c r="D12" s="11">
        <f>SUMIFS(Payments!$F$2:$F$77,Payments!$A$2:$A$77,A12,Payments!$G$2:$G$77,"Yes")</f>
        <v/>
      </c>
      <c r="E12" s="11">
        <f>C12-D12</f>
        <v/>
      </c>
      <c r="F12" s="13" t="inlineStr">
        <is>
          <t>Warrant list</t>
        </is>
      </c>
      <c r="G12" s="10" t="inlineStr">
        <is>
          <t>https://nederlandco.civicweb.net/document/128662/</t>
        </is>
      </c>
    </row>
    <row r="13">
      <c r="A13" s="9" t="n">
        <v>46133</v>
      </c>
      <c r="B13" s="11" t="n">
        <v>756821.99</v>
      </c>
      <c r="C13" s="11">
        <f>B13-B12</f>
        <v/>
      </c>
      <c r="D13" s="11">
        <f>SUMIFS(Payments!$F$2:$F$77,Payments!$A$2:$A$77,A13,Payments!$G$2:$G$77,"Yes")</f>
        <v/>
      </c>
      <c r="E13" s="11">
        <f>C13-D13</f>
        <v/>
      </c>
      <c r="F13" s="13" t="inlineStr">
        <is>
          <t>Warrant list</t>
        </is>
      </c>
      <c r="G13" s="10" t="inlineStr">
        <is>
          <t>https://nederlandco.civicweb.net/document/128980/</t>
        </is>
      </c>
    </row>
    <row r="14">
      <c r="A14" s="9" t="n">
        <v>46147</v>
      </c>
      <c r="B14" s="11" t="n">
        <v>796470.24</v>
      </c>
      <c r="C14" s="11">
        <f>B14-B13</f>
        <v/>
      </c>
      <c r="D14" s="11">
        <f>SUMIFS(Payments!$F$2:$F$77,Payments!$A$2:$A$77,A14,Payments!$G$2:$G$77,"Yes")</f>
        <v/>
      </c>
      <c r="E14" s="11">
        <f>C14-D14</f>
        <v/>
      </c>
      <c r="F14" s="13" t="inlineStr">
        <is>
          <t>Warrant list</t>
        </is>
      </c>
      <c r="G14" s="10" t="inlineStr">
        <is>
          <t>https://nederlandco.civicweb.net/document/129316/</t>
        </is>
      </c>
    </row>
    <row r="15">
      <c r="A15" s="9" t="n">
        <v>46161</v>
      </c>
      <c r="B15" s="11" t="n">
        <v>807391.24</v>
      </c>
      <c r="C15" s="11">
        <f>B15-B14</f>
        <v/>
      </c>
      <c r="D15" s="11">
        <f>SUMIFS(Payments!$F$2:$F$77,Payments!$A$2:$A$77,A15,Payments!$G$2:$G$77,"Yes")</f>
        <v/>
      </c>
      <c r="E15" s="11">
        <f>C15-D15</f>
        <v/>
      </c>
      <c r="F15" s="13" t="inlineStr">
        <is>
          <t>Warrant list</t>
        </is>
      </c>
      <c r="G15" s="10" t="inlineStr">
        <is>
          <t>https://nederlandco.civicweb.net/document/129629/</t>
        </is>
      </c>
    </row>
    <row r="16">
      <c r="A16" s="9" t="n">
        <v>46175</v>
      </c>
      <c r="B16" s="11" t="n">
        <v>826179.74</v>
      </c>
      <c r="C16" s="11">
        <f>B16-B15</f>
        <v/>
      </c>
      <c r="D16" s="11">
        <f>SUMIFS(Payments!$F$2:$F$77,Payments!$A$2:$A$77,A16,Payments!$G$2:$G$77,"Yes")</f>
        <v/>
      </c>
      <c r="E16" s="11">
        <f>C16-D16</f>
        <v/>
      </c>
      <c r="F16" s="13" t="inlineStr">
        <is>
          <t>Warrant list</t>
        </is>
      </c>
      <c r="G16" s="10" t="inlineStr">
        <is>
          <t>https://nederlandco.civicweb.net/document/129902/</t>
        </is>
      </c>
    </row>
    <row r="17">
      <c r="A17" s="9" t="n">
        <v>46189</v>
      </c>
      <c r="B17" s="11" t="n">
        <v>830220.74</v>
      </c>
      <c r="C17" s="11">
        <f>B17-B16</f>
        <v/>
      </c>
      <c r="D17" s="11">
        <f>SUMIFS(Payments!$F$2:$F$77,Payments!$A$2:$A$77,A17,Payments!$G$2:$G$77,"Yes")</f>
        <v/>
      </c>
      <c r="E17" s="11">
        <f>C17-D17</f>
        <v/>
      </c>
      <c r="F17" s="13" t="inlineStr">
        <is>
          <t>Warrant list</t>
        </is>
      </c>
      <c r="G17" s="10" t="inlineStr">
        <is>
          <t>https://nederlandco.civicweb.net/document/130036/</t>
        </is>
      </c>
    </row>
    <row r="18">
      <c r="A18" s="9" t="n">
        <v>46210</v>
      </c>
      <c r="B18" s="11" t="n">
        <v>915921.88</v>
      </c>
      <c r="C18" s="11">
        <f>B18-B17</f>
        <v/>
      </c>
      <c r="D18" s="11">
        <f>SUMIFS(Payments!$F$2:$F$77,Payments!$A$2:$A$77,A18,Payments!$G$2:$G$77,"Yes")</f>
        <v/>
      </c>
      <c r="E18" s="11">
        <f>C18-D18</f>
        <v/>
      </c>
      <c r="F18" s="13" t="inlineStr">
        <is>
          <t>Warrant list</t>
        </is>
      </c>
      <c r="G18" s="10" t="inlineStr">
        <is>
          <t>https://nederlandco.civicweb.net/document/130431/</t>
        </is>
      </c>
    </row>
    <row r="19">
      <c r="A19" s="9" t="n">
        <v>46224</v>
      </c>
      <c r="B19" s="11" t="n">
        <v>1143083.38</v>
      </c>
      <c r="C19" s="11">
        <f>B19-B18</f>
        <v/>
      </c>
      <c r="D19" s="11">
        <f>SUMIFS(Payments!$F$2:$F$77,Payments!$A$2:$A$77,A19,Payments!$G$2:$G$77,"Yes")</f>
        <v/>
      </c>
      <c r="E19" s="11">
        <f>C19-D19</f>
        <v/>
      </c>
      <c r="F19" s="13" t="inlineStr">
        <is>
          <t>Warrant list</t>
        </is>
      </c>
      <c r="G19" s="10" t="inlineStr">
        <is>
          <t>https://nederlandco.civicweb.net/document/130666/</t>
        </is>
      </c>
    </row>
    <row r="20">
      <c r="A20" s="9" t="n">
        <v>46252</v>
      </c>
      <c r="B20" s="11" t="n">
        <v>1143563.38</v>
      </c>
      <c r="C20" s="11">
        <f>B20-B19</f>
        <v/>
      </c>
      <c r="D20" s="11">
        <f>SUMIFS(Payments!$F$2:$F$77,Payments!$A$2:$A$77,A20,Payments!$G$2:$G$77,"Yes")</f>
        <v/>
      </c>
      <c r="E20" s="11">
        <f>C20-D20</f>
        <v/>
      </c>
      <c r="F20" s="13" t="inlineStr">
        <is>
          <t>Warrant list</t>
        </is>
      </c>
      <c r="G20" s="10" t="inlineStr">
        <is>
          <t>https://nederlandco.civicweb.net/document/131332/</t>
        </is>
      </c>
    </row>
    <row r="21">
      <c r="A21" s="9" t="n">
        <v>46280</v>
      </c>
      <c r="B21" s="11" t="n">
        <v>1149904.38</v>
      </c>
      <c r="C21" s="11">
        <f>B21-B20</f>
        <v/>
      </c>
      <c r="D21" s="11">
        <f>SUMIFS(Payments!$F$2:$F$77,Payments!$A$2:$A$77,A21,Payments!$G$2:$G$77,"Yes")</f>
        <v/>
      </c>
      <c r="E21" s="11">
        <f>C21-D21</f>
        <v/>
      </c>
      <c r="F21" s="13" t="inlineStr">
        <is>
          <t>Warrant list</t>
        </is>
      </c>
      <c r="G21" s="10" t="inlineStr">
        <is>
          <t>https://nederlandco.civicweb.net/document/132029/</t>
        </is>
      </c>
    </row>
    <row r="22">
      <c r="A22" s="9" t="n">
        <v>46301</v>
      </c>
      <c r="B22" s="11" t="n">
        <v>1195749.38</v>
      </c>
      <c r="C22" s="11">
        <f>B22-B21</f>
        <v/>
      </c>
      <c r="D22" s="11">
        <f>SUMIFS(Payments!$F$2:$F$77,Payments!$A$2:$A$77,A22,Payments!$G$2:$G$77,"Yes")</f>
        <v/>
      </c>
      <c r="E22" s="11">
        <f>C22-D22</f>
        <v/>
      </c>
      <c r="F22" s="13" t="inlineStr">
        <is>
          <t>Warrant list</t>
        </is>
      </c>
      <c r="G22" s="10" t="inlineStr">
        <is>
          <t>https://nederlandco.civicweb.net/document/132341/</t>
        </is>
      </c>
    </row>
    <row r="23">
      <c r="A23" s="9" t="n">
        <v>46315</v>
      </c>
      <c r="B23" s="11" t="n">
        <v>1195949.38</v>
      </c>
      <c r="C23" s="11">
        <f>B23-B22</f>
        <v/>
      </c>
      <c r="D23" s="11">
        <f>SUMIFS(Payments!$F$2:$F$77,Payments!$A$2:$A$77,A23,Payments!$G$2:$G$77,"Yes")</f>
        <v/>
      </c>
      <c r="E23" s="11">
        <f>C23-D23</f>
        <v/>
      </c>
      <c r="F23" s="13" t="inlineStr">
        <is>
          <t>Warrant list</t>
        </is>
      </c>
      <c r="G23" s="10" t="inlineStr">
        <is>
          <t>https://nederlandco.civicweb.net/document/132740/</t>
        </is>
      </c>
    </row>
  </sheetData>
  <autoFilter ref="A1:G23"/>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15" customWidth="1" min="3" max="3"/>
    <col width="9" customWidth="1" min="4" max="4"/>
    <col width="13" customWidth="1" min="5" max="5"/>
    <col width="13" customWidth="1" min="6" max="6"/>
    <col width="24" customWidth="1" min="7" max="7"/>
    <col width="80" customWidth="1" min="8" max="8"/>
  </cols>
  <sheetData>
    <row r="1">
      <c r="A1" s="4" t="inlineStr">
        <is>
          <t>Payee</t>
        </is>
      </c>
      <c r="B1" s="4" t="inlineStr">
        <is>
          <t>Payee (as listed)</t>
        </is>
      </c>
      <c r="C1" s="4" t="inlineStr">
        <is>
          <t>Total paid</t>
        </is>
      </c>
      <c r="D1" s="4" t="inlineStr">
        <is>
          <t>Invoices</t>
        </is>
      </c>
      <c r="E1" s="4" t="inlineStr">
        <is>
          <t>First invoice date</t>
        </is>
      </c>
      <c r="F1" s="4" t="inlineStr">
        <is>
          <t>Last invoice date</t>
        </is>
      </c>
      <c r="G1" s="4" t="inlineStr">
        <is>
          <t>Evidence rating</t>
        </is>
      </c>
      <c r="H1" s="4" t="inlineStr">
        <is>
          <t>Note</t>
        </is>
      </c>
    </row>
    <row r="2">
      <c r="A2" s="10" t="inlineStr">
        <is>
          <t>Widner Juran LLP</t>
        </is>
      </c>
      <c r="B2" s="10" t="inlineStr">
        <is>
          <t>Widner Juran LLP</t>
        </is>
      </c>
      <c r="C2" s="11">
        <f>SUMIF(Payments!$B$2:$B$77,B2,Payments!$F$2:$F$77)</f>
        <v/>
      </c>
      <c r="D2" s="10">
        <f>COUNTIF(Payments!$B$2:$B$77,B2)</f>
        <v/>
      </c>
      <c r="E2" s="9" t="n">
        <v>45688</v>
      </c>
      <c r="F2" s="9" t="n">
        <v>46265</v>
      </c>
      <c r="G2" s="10" t="inlineStr">
        <is>
          <t>Account coding only</t>
        </is>
      </c>
      <c r="H2" s="5" t="inlineStr">
        <is>
          <t>Town Attorney; includes $46,211 in January to July 2025 invoices moved into this account from the Legal budget · Standing appointment</t>
        </is>
      </c>
    </row>
    <row r="3">
      <c r="A3" s="10" t="inlineStr">
        <is>
          <t>POWDR Corp</t>
        </is>
      </c>
      <c r="B3" s="10" t="inlineStr">
        <is>
          <t>POWDR Corp</t>
        </is>
      </c>
      <c r="C3" s="11">
        <f>SUMIF(Payments!$B$2:$B$77,B3,Payments!$F$2:$F$77)</f>
        <v/>
      </c>
      <c r="D3" s="10">
        <f>COUNTIF(Payments!$B$2:$B$77,B3)</f>
        <v/>
      </c>
      <c r="E3" s="9" t="n">
        <v>46028</v>
      </c>
      <c r="F3" s="9" t="n">
        <v>46133</v>
      </c>
      <c r="G3" s="10" t="inlineStr">
        <is>
          <t>Named in Board documents</t>
        </is>
      </c>
      <c r="H3" s="5" t="inlineStr">
        <is>
          <t>The seller; the records searched don't state the purpose of its three invoices, one of which ($50,000) is on no warrant list. A Jan. 6, 2026, letter provides for a $50,000 advance to POWDR toward Ikon negotiation costs · Purchase agreement</t>
        </is>
      </c>
    </row>
    <row r="4">
      <c r="A4" s="10" t="inlineStr">
        <is>
          <t>Plante Moran</t>
        </is>
      </c>
      <c r="B4" s="10" t="inlineStr">
        <is>
          <t>P&amp;M Holding Group</t>
        </is>
      </c>
      <c r="C4" s="11">
        <f>SUMIF(Payments!$B$2:$B$77,B4,Payments!$F$2:$F$77)</f>
        <v/>
      </c>
      <c r="D4" s="10">
        <f>COUNTIF(Payments!$B$2:$B$77,B4)</f>
        <v/>
      </c>
      <c r="E4" s="9" t="n">
        <v>45995</v>
      </c>
      <c r="F4" s="9" t="n">
        <v>46153</v>
      </c>
      <c r="G4" s="10" t="inlineStr">
        <is>
          <t>Named in Board documents</t>
        </is>
      </c>
      <c r="H4" s="5" t="inlineStr">
        <is>
          <t>Financial due diligence ("quality of earnings") on the resort, then HR and finance transition planning; since July 2026 also signs the Town's Treasurer reports; includes $853 moved into this account from Professional Services · Due diligence engagement letter of Aug. 12, 2025 (released October 2026); Res. 2025-22 covers HR and finance consultants (no firm named); then Res. 2026-12</t>
        </is>
      </c>
    </row>
    <row r="5">
      <c r="A5" s="10" t="inlineStr">
        <is>
          <t>Hogan Lovells</t>
        </is>
      </c>
      <c r="B5" s="10" t="inlineStr">
        <is>
          <t>Hogan Lovells US LLP</t>
        </is>
      </c>
      <c r="C5" s="11">
        <f>SUMIF(Payments!$B$2:$B$77,B5,Payments!$F$2:$F$77)</f>
        <v/>
      </c>
      <c r="D5" s="10">
        <f>COUNTIF(Payments!$B$2:$B$77,B5)</f>
        <v/>
      </c>
      <c r="E5" s="9" t="n">
        <v>46197</v>
      </c>
      <c r="F5" s="9" t="n">
        <v>46230</v>
      </c>
      <c r="G5" s="10" t="inlineStr">
        <is>
          <t>No other record</t>
        </is>
      </c>
      <c r="H5" s="5" t="inlineStr">
        <is>
          <t>Role not stated in the records searched · appears in the records searched only on the July 21 and Aug. 18, 2026, warrant lists and in the Town's ledger for the account</t>
        </is>
      </c>
    </row>
    <row r="6">
      <c r="A6" s="10" t="inlineStr">
        <is>
          <t>SE Group</t>
        </is>
      </c>
      <c r="B6" s="10" t="inlineStr">
        <is>
          <t>Sno.engineering</t>
        </is>
      </c>
      <c r="C6" s="11">
        <f>SUMIF(Payments!$B$2:$B$77,B6,Payments!$F$2:$F$77)</f>
        <v/>
      </c>
      <c r="D6" s="10">
        <f>COUNTIF(Payments!$B$2:$B$77,B6)</f>
        <v/>
      </c>
      <c r="E6" s="9" t="n">
        <v>45904</v>
      </c>
      <c r="F6" s="9" t="n">
        <v>46177</v>
      </c>
      <c r="G6" s="10" t="inlineStr">
        <is>
          <t>Named in Board documents</t>
        </is>
      </c>
      <c r="H6" s="5" t="inlineStr">
        <is>
          <t>Operations, market, and financial review of the resort · Res. 2025-15</t>
        </is>
      </c>
    </row>
    <row r="7">
      <c r="A7" s="10" t="inlineStr">
        <is>
          <t>Farnsworth Group</t>
        </is>
      </c>
      <c r="B7" s="10" t="inlineStr">
        <is>
          <t>Farnsworth Group</t>
        </is>
      </c>
      <c r="C7" s="11">
        <f>SUMIF(Payments!$B$2:$B$77,B7,Payments!$F$2:$F$77)</f>
        <v/>
      </c>
      <c r="D7" s="10">
        <f>COUNTIF(Payments!$B$2:$B$77,B7)</f>
        <v/>
      </c>
      <c r="E7" s="9" t="n">
        <v>45946</v>
      </c>
      <c r="F7" s="9" t="n">
        <v>46038</v>
      </c>
      <c r="G7" s="10" t="inlineStr">
        <is>
          <t>No other record</t>
        </is>
      </c>
      <c r="H7" s="5" t="inlineStr">
        <is>
          <t>Land survey of two resort parcels, including the "Cabin Parcel," for a fixed fee of $65,300 · Agreement of August 2025 (released October 2026); not in the Board documents searched</t>
        </is>
      </c>
    </row>
    <row r="8">
      <c r="A8" s="10" t="inlineStr">
        <is>
          <t>Dickinson Wright</t>
        </is>
      </c>
      <c r="B8" s="10" t="inlineStr">
        <is>
          <t>Dickinson Wright PLLC</t>
        </is>
      </c>
      <c r="C8" s="11">
        <f>SUMIF(Payments!$B$2:$B$77,B8,Payments!$F$2:$F$77)</f>
        <v/>
      </c>
      <c r="D8" s="10">
        <f>COUNTIF(Payments!$B$2:$B$77,B8)</f>
        <v/>
      </c>
      <c r="E8" s="9" t="n">
        <v>45889</v>
      </c>
      <c r="F8" s="9" t="n">
        <v>45923</v>
      </c>
      <c r="G8" s="10" t="inlineStr">
        <is>
          <t>Named in Board documents</t>
        </is>
      </c>
      <c r="H8" s="5" t="inlineStr">
        <is>
          <t>Water-rights due diligence (its other water-law work is billed to the Water Fund); includes a $9,680 invoice moved into this account from the Legal budget · Engagement approved July 15, 2025</t>
        </is>
      </c>
    </row>
    <row r="9">
      <c r="A9" s="10" t="inlineStr">
        <is>
          <t>Kline Alvarado Veio</t>
        </is>
      </c>
      <c r="B9" s="10" t="inlineStr">
        <is>
          <t>Kline Veio</t>
        </is>
      </c>
      <c r="C9" s="11">
        <f>SUMIF(Payments!$B$2:$B$77,B9,Payments!$F$2:$F$77)</f>
        <v/>
      </c>
      <c r="D9" s="10">
        <f>COUNTIF(Payments!$B$2:$B$77,B9)</f>
        <v/>
      </c>
      <c r="E9" s="9" t="n">
        <v>46189</v>
      </c>
      <c r="F9" s="9" t="n">
        <v>46189</v>
      </c>
      <c r="G9" s="10" t="inlineStr">
        <is>
          <t>Named in Board documents</t>
        </is>
      </c>
      <c r="H9" s="5" t="inlineStr">
        <is>
          <t>Bond counsel; fee estimate $200,000 to $250,000, payable at closing, or accrued time billed hourly if no bonds are issued · Res. 2025-16 (named); engagement letter of Aug. 1, 2025 (released October 2026)</t>
        </is>
      </c>
    </row>
    <row r="10">
      <c r="A10" s="10" t="inlineStr">
        <is>
          <t>Partner Engineering and Science</t>
        </is>
      </c>
      <c r="B10" s="10" t="inlineStr">
        <is>
          <t>Partner Assessment Corporation</t>
        </is>
      </c>
      <c r="C10" s="11">
        <f>SUMIF(Payments!$B$2:$B$77,B10,Payments!$F$2:$F$77)</f>
        <v/>
      </c>
      <c r="D10" s="10">
        <f>COUNTIF(Payments!$B$2:$B$77,B10)</f>
        <v/>
      </c>
      <c r="E10" s="9" t="n">
        <v>45930</v>
      </c>
      <c r="F10" s="9" t="n">
        <v>46022</v>
      </c>
      <c r="G10" s="10" t="inlineStr">
        <is>
          <t>No other record</t>
        </is>
      </c>
      <c r="H10" s="5" t="inlineStr">
        <is>
          <t>Role not stated in the records searched; the November 2025 Eldora memo reports a property condition assessment and an environmental site assessment without naming who did them · no engagement record in the Board documents searched</t>
        </is>
      </c>
    </row>
    <row r="11">
      <c r="A11" s="10" t="inlineStr">
        <is>
          <t>JVA</t>
        </is>
      </c>
      <c r="B11" s="10" t="inlineStr">
        <is>
          <t>JVA</t>
        </is>
      </c>
      <c r="C11" s="11">
        <f>SUMIF(Payments!$B$2:$B$77,B11,Payments!$F$2:$F$77)</f>
        <v/>
      </c>
      <c r="D11" s="10">
        <f>COUNTIF(Payments!$B$2:$B$77,B11)</f>
        <v/>
      </c>
      <c r="E11" s="9" t="n">
        <v>45900</v>
      </c>
      <c r="F11" s="9" t="n">
        <v>45991</v>
      </c>
      <c r="G11" s="10" t="inlineStr">
        <is>
          <t>Account coding only</t>
        </is>
      </c>
      <c r="H11" s="5" t="inlineStr">
        <is>
          <t>The Town's on-call engineers · Regular Town vendor</t>
        </is>
      </c>
    </row>
    <row r="12">
      <c r="A12" s="10" t="inlineStr">
        <is>
          <t>DiNatale Water Consultants</t>
        </is>
      </c>
      <c r="B12" s="10" t="inlineStr">
        <is>
          <t>DiNatale Water Consultants</t>
        </is>
      </c>
      <c r="C12" s="11">
        <f>SUMIF(Payments!$B$2:$B$77,B12,Payments!$F$2:$F$77)</f>
        <v/>
      </c>
      <c r="D12" s="10">
        <f>COUNTIF(Payments!$B$2:$B$77,B12)</f>
        <v/>
      </c>
      <c r="E12" s="9" t="n">
        <v>45900</v>
      </c>
      <c r="F12" s="9" t="n">
        <v>45930</v>
      </c>
      <c r="G12" s="10" t="inlineStr">
        <is>
          <t>Account coding only</t>
        </is>
      </c>
      <c r="H12" s="5" t="inlineStr">
        <is>
          <t>The Town's water engineers · Regular Town vendor</t>
        </is>
      </c>
    </row>
    <row r="13">
      <c r="A13" s="10" t="inlineStr">
        <is>
          <t>BBA Water Consultants</t>
        </is>
      </c>
      <c r="B13" s="10" t="inlineStr">
        <is>
          <t>BBA Water Consultants</t>
        </is>
      </c>
      <c r="C13" s="11">
        <f>SUMIF(Payments!$B$2:$B$77,B13,Payments!$F$2:$F$77)</f>
        <v/>
      </c>
      <c r="D13" s="10">
        <f>COUNTIF(Payments!$B$2:$B$77,B13)</f>
        <v/>
      </c>
      <c r="E13" s="9" t="n">
        <v>45976</v>
      </c>
      <c r="F13" s="9" t="n">
        <v>46068</v>
      </c>
      <c r="G13" s="10" t="inlineStr">
        <is>
          <t>Named in Board documents</t>
        </is>
      </c>
      <c r="H13" s="5" t="inlineStr">
        <is>
          <t>Eldora's own water consultant under the purchase agreement; engaged by the Town, with a conflict waiver, to update Eldora's 2016 water sufficiency letter for the Forest Service permit transfer · Purchase agreement; engagement letter of Oct. 8, 2025 (released October 2026)</t>
        </is>
      </c>
    </row>
    <row r="14">
      <c r="A14" s="10" t="inlineStr">
        <is>
          <t>Torrent Engineering &amp; Equipment</t>
        </is>
      </c>
      <c r="B14" s="10" t="inlineStr">
        <is>
          <t>Torrent Engineering &amp; Equipment Company LLC</t>
        </is>
      </c>
      <c r="C14" s="11">
        <f>SUMIF(Payments!$B$2:$B$77,B14,Payments!$F$2:$F$77)</f>
        <v/>
      </c>
      <c r="D14" s="10">
        <f>COUNTIF(Payments!$B$2:$B$77,B14)</f>
        <v/>
      </c>
      <c r="E14" s="9" t="n">
        <v>46022</v>
      </c>
      <c r="F14" s="9" t="n">
        <v>46022</v>
      </c>
      <c r="G14" s="10" t="inlineStr">
        <is>
          <t>No other record</t>
        </is>
      </c>
      <c r="H14" s="5" t="inlineStr">
        <is>
          <t>Engineering; work not stated in the records searched · no engagement record in the Board documents searched</t>
        </is>
      </c>
    </row>
    <row r="15">
      <c r="A15" s="10" t="inlineStr">
        <is>
          <t>Bolder HR Solutions</t>
        </is>
      </c>
      <c r="B15" s="10" t="inlineStr">
        <is>
          <t>Susan N. Fattor</t>
        </is>
      </c>
      <c r="C15" s="11">
        <f>SUMIF(Payments!$B$2:$B$77,B15,Payments!$F$2:$F$77)</f>
        <v/>
      </c>
      <c r="D15" s="10">
        <f>COUNTIF(Payments!$B$2:$B$77,B15)</f>
        <v/>
      </c>
      <c r="E15" s="9" t="n">
        <v>45962</v>
      </c>
      <c r="F15" s="9" t="n">
        <v>46053</v>
      </c>
      <c r="G15" s="10" t="inlineStr">
        <is>
          <t>No other record</t>
        </is>
      </c>
      <c r="H15" s="5" t="inlineStr">
        <is>
          <t>HR consulting for transitioning Eldora employees, at $150 an hour · Res. 2025-22 covers HR and finance consultants (no firm named); agreement effective Oct. 6, 2025 (released October 2026)</t>
        </is>
      </c>
    </row>
    <row r="16">
      <c r="A16" s="10" t="inlineStr">
        <is>
          <t>Vadim Municipal Software</t>
        </is>
      </c>
      <c r="B16" s="10" t="inlineStr">
        <is>
          <t>Vadim Municipal Software Inc</t>
        </is>
      </c>
      <c r="C16" s="11">
        <f>SUMIF(Payments!$B$2:$B$77,B16,Payments!$F$2:$F$77)</f>
        <v/>
      </c>
      <c r="D16" s="10">
        <f>COUNTIF(Payments!$B$2:$B$77,B16)</f>
        <v/>
      </c>
      <c r="E16" s="9" t="n">
        <v>46057</v>
      </c>
      <c r="F16" s="9" t="n">
        <v>46057</v>
      </c>
      <c r="G16" s="10" t="inlineStr">
        <is>
          <t>Account coding only</t>
        </is>
      </c>
      <c r="H16" s="5" t="inlineStr">
        <is>
          <t>The Town's accounting software · Regular Town vendor</t>
        </is>
      </c>
    </row>
    <row r="17">
      <c r="A17" s="10" t="inlineStr">
        <is>
          <t>Datasite</t>
        </is>
      </c>
      <c r="B17" s="10" t="inlineStr">
        <is>
          <t>Datasite LLC</t>
        </is>
      </c>
      <c r="C17" s="11">
        <f>SUMIF(Payments!$B$2:$B$77,B17,Payments!$F$2:$F$77)</f>
        <v/>
      </c>
      <c r="D17" s="10">
        <f>COUNTIF(Payments!$B$2:$B$77,B17)</f>
        <v/>
      </c>
      <c r="E17" s="9" t="n">
        <v>46058</v>
      </c>
      <c r="F17" s="9" t="n">
        <v>46303</v>
      </c>
      <c r="G17" s="10" t="inlineStr">
        <is>
          <t>No other record</t>
        </is>
      </c>
      <c r="H17" s="5" t="inlineStr">
        <is>
          <t>Virtual data room named "Eldora"; $200 monthly minimum for a 36-month term · Statement of work (released October 2026); not in the Board documents searched</t>
        </is>
      </c>
    </row>
    <row r="18">
      <c r="A18" s="10" t="inlineStr">
        <is>
          <t>Semple, Farrington, Everall &amp; Case</t>
        </is>
      </c>
      <c r="B18" s="10" t="inlineStr">
        <is>
          <t>Semple</t>
        </is>
      </c>
      <c r="C18" s="11">
        <f>SUMIF(Payments!$B$2:$B$77,B18,Payments!$F$2:$F$77)</f>
        <v/>
      </c>
      <c r="D18" s="10">
        <f>COUNTIF(Payments!$B$2:$B$77,B18)</f>
        <v/>
      </c>
      <c r="E18" s="9" t="n">
        <v>45900</v>
      </c>
      <c r="F18" s="9" t="n">
        <v>46022</v>
      </c>
      <c r="G18" s="10" t="inlineStr">
        <is>
          <t>No other record</t>
        </is>
      </c>
      <c r="H18" s="5" t="inlineStr">
        <is>
          <t>Role not stated in the records searched; the Res. 2025-16 memo expects "specialized employment matters" · no engagement record in the Board documents searched</t>
        </is>
      </c>
    </row>
    <row r="19">
      <c r="A19" s="10" t="inlineStr">
        <is>
          <t>Professional Management Solutions</t>
        </is>
      </c>
      <c r="B19" s="10" t="inlineStr">
        <is>
          <t>Professional Management Systems</t>
        </is>
      </c>
      <c r="C19" s="11">
        <f>SUMIF(Payments!$B$2:$B$77,B19,Payments!$F$2:$F$77)</f>
        <v/>
      </c>
      <c r="D19" s="10">
        <f>COUNTIF(Payments!$B$2:$B$77,B19)</f>
        <v/>
      </c>
      <c r="E19" s="9" t="n">
        <v>45987</v>
      </c>
      <c r="F19" s="9" t="n">
        <v>45987</v>
      </c>
      <c r="G19" s="10" t="inlineStr">
        <is>
          <t>No other record</t>
        </is>
      </c>
      <c r="H19" s="5" t="inlineStr">
        <is>
          <t>Role not stated in the records searched · no engagement record in the Board documents searched</t>
        </is>
      </c>
    </row>
    <row r="20">
      <c r="A20" s="14" t="inlineStr">
        <is>
          <t>Total</t>
        </is>
      </c>
      <c r="B20" s="14" t="inlineStr"/>
      <c r="C20" s="15">
        <f>SUM(C2:C19)</f>
        <v/>
      </c>
      <c r="D20" s="14">
        <f>SUM(D2:D19)</f>
        <v/>
      </c>
      <c r="E20" s="16" t="n"/>
      <c r="F20" s="16" t="n"/>
      <c r="G20" s="14" t="inlineStr"/>
      <c r="H20" s="7" t="inlineStr"/>
    </row>
  </sheetData>
  <autoFilter ref="A1:H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34" customWidth="1" min="1" max="1"/>
    <col width="13" customWidth="1" min="2" max="2"/>
    <col width="14" customWidth="1" min="3" max="3"/>
    <col width="14" customWidth="1" min="4" max="4"/>
    <col width="14" customWidth="1" min="5" max="5"/>
    <col width="70" customWidth="1" min="6" max="6"/>
    <col width="18" customWidth="1" min="7" max="7"/>
    <col width="48" customWidth="1" min="8" max="8"/>
  </cols>
  <sheetData>
    <row r="1">
      <c r="A1" s="4" t="inlineStr">
        <is>
          <t>Engagement</t>
        </is>
      </c>
      <c r="B1" s="4" t="inlineStr">
        <is>
          <t>Approved or disclosed</t>
        </is>
      </c>
      <c r="C1" s="4" t="inlineStr">
        <is>
          <t>Estimate (high end)</t>
        </is>
      </c>
      <c r="D1" s="4" t="inlineStr">
        <is>
          <t>Estimate incl. expenses</t>
        </is>
      </c>
      <c r="E1" s="4" t="inlineStr">
        <is>
          <t>Paid</t>
        </is>
      </c>
      <c r="F1" s="4" t="inlineStr">
        <is>
          <t>Notes</t>
        </is>
      </c>
      <c r="G1" s="4" t="inlineStr">
        <is>
          <t>Source</t>
        </is>
      </c>
      <c r="H1" s="4" t="inlineStr">
        <is>
          <t>Source URL</t>
        </is>
      </c>
    </row>
    <row r="2">
      <c r="A2" s="5" t="inlineStr">
        <is>
          <t>SE Group due diligence</t>
        </is>
      </c>
      <c r="B2" s="9" t="n">
        <v>45853</v>
      </c>
      <c r="C2" s="17" t="n">
        <v>69000</v>
      </c>
      <c r="D2" s="17" t="n">
        <v>75900</v>
      </c>
      <c r="E2" s="11" t="n">
        <v>134230.69</v>
      </c>
      <c r="F2" s="5" t="inlineStr">
        <is>
          <t>"We anticipate our professional fees will not exceed $69,000," plus expenses of "typically 10%." Res. 2025-15 approved the agreement "substantially in the form of the proposal."</t>
        </is>
      </c>
      <c r="G2" s="13" t="inlineStr">
        <is>
          <t>Proposal pp. 4–5</t>
        </is>
      </c>
      <c r="H2" s="10" t="inlineStr">
        <is>
          <t>https://nederlandco.civicweb.net/document/122625/</t>
        </is>
      </c>
    </row>
    <row r="3">
      <c r="A3" s="5" t="inlineStr">
        <is>
          <t>Plante Moran transition planning</t>
        </is>
      </c>
      <c r="B3" s="9" t="n">
        <v>46133</v>
      </c>
      <c r="C3" s="17" t="n">
        <v>110000</v>
      </c>
      <c r="D3" s="17" t="n">
        <v>110000</v>
      </c>
      <c r="E3" s="11" t="n">
        <v>161656.14</v>
      </c>
      <c r="F3" s="5" t="inlineStr">
        <is>
          <t>Estimated $90,000 to $110,000 over four to five weeks. Its Eldora acquisition charges are on invoices dated Dec. 4, 2025, to April 17, 2026. Res. 2025-22 (Oct. 7, 2025) authorized the Town Manager to engage HR and finance consultants; it names no firm or estimate.</t>
        </is>
      </c>
      <c r="G3" s="13" t="inlineStr">
        <is>
          <t>Engagement letter p. 3</t>
        </is>
      </c>
      <c r="H3" s="10" t="inlineStr">
        <is>
          <t>https://nederlandco.civicweb.net/document/128983/</t>
        </is>
      </c>
    </row>
    <row r="4">
      <c r="A4" s="5" t="inlineStr">
        <is>
          <t>Dickinson Wright water-rights due diligence</t>
        </is>
      </c>
      <c r="B4" s="9" t="n">
        <v>45853</v>
      </c>
      <c r="C4" s="17" t="n"/>
      <c r="D4" s="17" t="n"/>
      <c r="E4" s="11" t="n">
        <v>50149.18</v>
      </c>
      <c r="F4" s="5" t="inlineStr">
        <is>
          <t>Hourly rate only ($385); the engagement letter gives no estimate.</t>
        </is>
      </c>
      <c r="G4" s="13" t="inlineStr">
        <is>
          <t>Memo</t>
        </is>
      </c>
      <c r="H4" s="10" t="inlineStr">
        <is>
          <t>https://nederlandco.civicweb.net/document/122662/</t>
        </is>
      </c>
    </row>
    <row r="5">
      <c r="A5" s="5" t="inlineStr">
        <is>
          <t>Town Attorney, Widner Juran</t>
        </is>
      </c>
      <c r="B5" s="9" t="n">
        <v>45853</v>
      </c>
      <c r="C5" s="17" t="n"/>
      <c r="D5" s="17" t="n"/>
      <c r="E5" s="11" t="n">
        <v>287307</v>
      </c>
      <c r="F5" s="5" t="inlineStr">
        <is>
          <t>A July 2025 rate memo set a $290 hourly "pass-through" rate from January 2026. No estimate of hours.</t>
        </is>
      </c>
      <c r="G5" s="13" t="inlineStr">
        <is>
          <t>Memo</t>
        </is>
      </c>
      <c r="H5" s="10" t="inlineStr">
        <is>
          <t>https://nederlandco.civicweb.net/document/122661/</t>
        </is>
      </c>
    </row>
    <row r="6">
      <c r="A6" s="5" t="inlineStr">
        <is>
          <t>Hogan Lovells (other legal counsel, Res. 2025-16)</t>
        </is>
      </c>
      <c r="B6" s="9" t="n">
        <v>45874</v>
      </c>
      <c r="C6" s="17" t="n"/>
      <c r="D6" s="17" t="n"/>
      <c r="E6" s="11" t="n">
        <v>148794.5</v>
      </c>
      <c r="F6" s="5" t="inlineStr">
        <is>
          <t>The Town Manager "will keep the Board of Trustees informed about all necessary legal engagements." Hogan Lovells appears in no Board document searched except the warrant lists. A briefing in executive session would not appear in public records.</t>
        </is>
      </c>
      <c r="G6" s="13" t="inlineStr">
        <is>
          <t>Res. 2025-16</t>
        </is>
      </c>
      <c r="H6" s="10" t="inlineStr">
        <is>
          <t>https://nederlandco.civicweb.net/document/123040/</t>
        </is>
      </c>
    </row>
    <row r="7">
      <c r="A7" s="5" t="inlineStr">
        <is>
          <t>Stifel (financial advisor)</t>
        </is>
      </c>
      <c r="B7" s="9" t="n">
        <v>46210</v>
      </c>
      <c r="C7" s="17" t="n">
        <v>325000</v>
      </c>
      <c r="D7" s="17" t="n">
        <v>325000</v>
      </c>
      <c r="E7" s="11" t="n">
        <v>0</v>
      </c>
      <c r="F7" s="5" t="inlineStr">
        <is>
          <t>Paid only if the bonds are sold.</t>
        </is>
      </c>
      <c r="G7" s="13" t="inlineStr">
        <is>
          <t>Memo</t>
        </is>
      </c>
      <c r="H7" s="10" t="inlineStr">
        <is>
          <t>https://nederlandco.civicweb.net/document/130471/</t>
        </is>
      </c>
    </row>
  </sheetData>
  <autoFilter ref="A1:H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2" customWidth="1" min="1" max="1"/>
    <col width="16" customWidth="1" min="2" max="2"/>
    <col width="14" customWidth="1" min="3" max="3"/>
    <col width="14" customWidth="1" min="4" max="4"/>
    <col width="60" customWidth="1" min="5" max="5"/>
    <col width="20" customWidth="1" min="6" max="6"/>
    <col width="48" customWidth="1" min="7" max="7"/>
  </cols>
  <sheetData>
    <row r="1">
      <c r="A1" s="4" t="inlineStr">
        <is>
          <t>Item</t>
        </is>
      </c>
      <c r="B1" s="4" t="inlineStr">
        <is>
          <t>Amount</t>
        </is>
      </c>
      <c r="C1" s="4" t="inlineStr">
        <is>
          <t>Qualifier</t>
        </is>
      </c>
      <c r="D1" s="4" t="inlineStr">
        <is>
          <t>Status</t>
        </is>
      </c>
      <c r="E1" s="4" t="inlineStr">
        <is>
          <t>Notes</t>
        </is>
      </c>
      <c r="F1" s="4" t="inlineStr">
        <is>
          <t>Source</t>
        </is>
      </c>
      <c r="G1" s="4" t="inlineStr">
        <is>
          <t>Source URL</t>
        </is>
      </c>
    </row>
    <row r="2">
      <c r="A2" s="5" t="inlineStr">
        <is>
          <t>Purchase price for Eldora's assets</t>
        </is>
      </c>
      <c r="B2" s="17" t="n">
        <v>120000000</v>
      </c>
      <c r="C2" s="10" t="inlineStr"/>
      <c r="D2" s="10" t="inlineStr">
        <is>
          <t>Expired</t>
        </is>
      </c>
      <c r="E2" s="5" t="inlineStr">
        <is>
          <t>No deposit required. The Town said Sept. 30, 2026, that the agreement "has expired."</t>
        </is>
      </c>
      <c r="F2" s="13" t="inlineStr">
        <is>
          <t>Ord. 882, APA §2.5</t>
        </is>
      </c>
      <c r="G2" s="10" t="inlineStr">
        <is>
          <t>https://nederlandco.civicweb.net/document/126803/</t>
        </is>
      </c>
    </row>
    <row r="3">
      <c r="A3" s="5" t="inlineStr">
        <is>
          <t>Series 2026 revenue bonds (up to 40 years, at most 9% interest)</t>
        </is>
      </c>
      <c r="B3" s="17" t="n">
        <v>225000000</v>
      </c>
      <c r="C3" s="10" t="inlineStr">
        <is>
          <t>up to</t>
        </is>
      </c>
      <c r="D3" s="10" t="inlineStr">
        <is>
          <t>Lapsed</t>
        </is>
      </c>
      <c r="E3" s="5" t="inlineStr">
        <is>
          <t>Had to be sold within 180 days (about July 19, 2026). None were sold.</t>
        </is>
      </c>
      <c r="F3" s="13" t="inlineStr">
        <is>
          <t>Ord. 885 §5(c)</t>
        </is>
      </c>
      <c r="G3" s="10" t="inlineStr">
        <is>
          <t>https://nederlandco.civicweb.net/document/127180/</t>
        </is>
      </c>
    </row>
    <row r="4">
      <c r="A4" s="5" t="inlineStr">
        <is>
          <t>Expected maximum bond amount (intent to repay early costs from bonds)</t>
        </is>
      </c>
      <c r="B4" s="17" t="n">
        <v>180000000</v>
      </c>
      <c r="C4" s="10" t="inlineStr"/>
      <c r="D4" s="10" t="inlineStr">
        <is>
          <t>Declared</t>
        </is>
      </c>
      <c r="E4" s="5" t="inlineStr"/>
      <c r="F4" s="13" t="inlineStr">
        <is>
          <t>Res. 2025-17</t>
        </is>
      </c>
      <c r="G4" s="10" t="inlineStr">
        <is>
          <t>https://nederlandco.civicweb.net/document/123060/</t>
        </is>
      </c>
    </row>
    <row r="5">
      <c r="A5" s="5" t="inlineStr">
        <is>
          <t>Transaction costs owed if the sale does not close</t>
        </is>
      </c>
      <c r="B5" s="17" t="n">
        <v>2500000</v>
      </c>
      <c r="C5" s="10" t="inlineStr">
        <is>
          <t>about</t>
        </is>
      </c>
      <c r="D5" s="10" t="inlineStr">
        <is>
          <t>Town estimate</t>
        </is>
      </c>
      <c r="E5" s="5" t="inlineStr">
        <is>
          <t>To be paid from CSAFE investments; reimbursable from bond proceeds if the deal closes. Not itemized; paid plus confirmed owed is about $2.9 million (Summary).</t>
        </is>
      </c>
      <c r="F5" s="13" t="inlineStr">
        <is>
          <t>Sept. 30, 2026, update</t>
        </is>
      </c>
      <c r="G5" s="10" t="inlineStr">
        <is>
          <t>https://www.nederlandco.gov/m/newsflash/home/detail/21</t>
        </is>
      </c>
    </row>
    <row r="6">
      <c r="A6" s="5" t="inlineStr">
        <is>
          <t>Planned philanthropic fundraising for capital projects</t>
        </is>
      </c>
      <c r="B6" s="17" t="n">
        <v>20000000</v>
      </c>
      <c r="C6" s="10" t="inlineStr">
        <is>
          <t>about</t>
        </is>
      </c>
      <c r="D6" s="10" t="inlineStr">
        <is>
          <t>Planned</t>
        </is>
      </c>
      <c r="E6" s="5" t="inlineStr">
        <is>
          <t>Jolly Jug, Corona lift, mountaintop lodge, summer operations.</t>
        </is>
      </c>
      <c r="F6" s="13" t="inlineStr">
        <is>
          <t>Sept. 30, 2026, update</t>
        </is>
      </c>
      <c r="G6" s="10" t="inlineStr">
        <is>
          <t>https://www.nederlandco.gov/m/newsflash/home/detail/21</t>
        </is>
      </c>
    </row>
    <row r="7">
      <c r="A7" s="5" t="inlineStr">
        <is>
          <t>Stifel financial-advisor fee</t>
        </is>
      </c>
      <c r="B7" s="17" t="n">
        <v>325000</v>
      </c>
      <c r="C7" s="10" t="inlineStr"/>
      <c r="D7" s="10" t="inlineStr">
        <is>
          <t>If bonds sell</t>
        </is>
      </c>
      <c r="E7" s="5" t="inlineStr">
        <is>
          <t>Paid from bond proceeds.</t>
        </is>
      </c>
      <c r="F7" s="13" t="inlineStr">
        <is>
          <t>July 7, 2026, memo</t>
        </is>
      </c>
      <c r="G7" s="10" t="inlineStr">
        <is>
          <t>https://nederlandco.civicweb.net/document/130471/</t>
        </is>
      </c>
    </row>
    <row r="8">
      <c r="A8" s="5" t="inlineStr">
        <is>
          <t>Emergency spending beyond the budget (Res. 2026-13)</t>
        </is>
      </c>
      <c r="B8" s="17" t="n"/>
      <c r="C8" s="10" t="inlineStr">
        <is>
          <t>no dollar limit</t>
        </is>
      </c>
      <c r="D8" s="10" t="inlineStr">
        <is>
          <t>Lapsed</t>
        </is>
      </c>
      <c r="E8" s="5" t="inlineStr">
        <is>
          <t>Authority ran 120 days from April 21, 2026, or until a supplemental budget.</t>
        </is>
      </c>
      <c r="F8" s="13" t="inlineStr">
        <is>
          <t>Res. 2026-13</t>
        </is>
      </c>
      <c r="G8" s="10" t="inlineStr">
        <is>
          <t>https://nederlandco.civicweb.net/document/129046/</t>
        </is>
      </c>
    </row>
    <row r="9">
      <c r="A9" s="5" t="inlineStr">
        <is>
          <t>Mountain Recreation Enterprise in the 2025 and 2026 budgets</t>
        </is>
      </c>
      <c r="B9" s="17" t="n">
        <v>0</v>
      </c>
      <c r="C9" s="10" t="inlineStr"/>
      <c r="D9" s="10" t="inlineStr">
        <is>
          <t>Not budgeted</t>
        </is>
      </c>
      <c r="E9" s="5" t="inlineStr"/>
      <c r="F9" s="13" t="inlineStr">
        <is>
          <t>April 21, 2026, memo</t>
        </is>
      </c>
      <c r="G9" s="10" t="inlineStr">
        <is>
          <t>https://nederlandco.civicweb.net/document/129045/</t>
        </is>
      </c>
    </row>
  </sheetData>
  <autoFilter ref="A1:G9"/>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22" customWidth="1" min="3" max="3"/>
    <col width="22" customWidth="1" min="4" max="4"/>
    <col width="80" customWidth="1" min="5" max="5"/>
  </cols>
  <sheetData>
    <row r="1">
      <c r="A1" s="4" t="inlineStr">
        <is>
          <t>Fund (Dec. 31, 2025)</t>
        </is>
      </c>
      <c r="B1" s="4" t="inlineStr">
        <is>
          <t>Cash and investments</t>
        </is>
      </c>
      <c r="C1" s="4" t="inlineStr">
        <is>
          <t>Amount it is owed by (+) or owes (-) other funds</t>
        </is>
      </c>
      <c r="D1" s="4" t="inlineStr">
        <is>
          <t>Can it pay Eldora acquisition costs?</t>
        </is>
      </c>
      <c r="E1" s="4" t="inlineStr">
        <is>
          <t>Why</t>
        </is>
      </c>
    </row>
    <row r="2">
      <c r="A2" s="10" t="inlineStr">
        <is>
          <t>Water and Sewer (utility funds)</t>
        </is>
      </c>
      <c r="B2" s="17" t="n">
        <v>4150620</v>
      </c>
      <c r="C2" s="17" t="n">
        <v>-1118188</v>
      </c>
      <c r="D2" s="5" t="inlineStr">
        <is>
          <t>Generally no</t>
        </is>
      </c>
      <c r="E2" s="5" t="inlineStr">
        <is>
          <t>Utility rate revenue funds the utilities; the audit classifies $436,250 of the utilities' net position as restricted.</t>
        </is>
      </c>
    </row>
    <row r="3">
      <c r="A3" s="10" t="inlineStr">
        <is>
          <t>Downtown Development Authority</t>
        </is>
      </c>
      <c r="B3" s="17" t="n">
        <v>1695802</v>
      </c>
      <c r="C3" s="17" t="n">
        <v>0</v>
      </c>
      <c r="D3" s="5" t="inlineStr">
        <is>
          <t>No</t>
        </is>
      </c>
      <c r="E3" s="5" t="inlineStr">
        <is>
          <t>A separate authority's money for downtown purposes.</t>
        </is>
      </c>
    </row>
    <row r="4">
      <c r="A4" s="10" t="inlineStr">
        <is>
          <t>Community Center</t>
        </is>
      </c>
      <c r="B4" s="17" t="n">
        <v>964480</v>
      </c>
      <c r="C4" s="17" t="n">
        <v>-158347</v>
      </c>
      <c r="D4" s="5" t="inlineStr">
        <is>
          <t>No</t>
        </is>
      </c>
      <c r="E4" s="5" t="inlineStr">
        <is>
          <t>Restricted to the community center.</t>
        </is>
      </c>
    </row>
    <row r="5">
      <c r="A5" s="10" t="inlineStr">
        <is>
          <t>Streets; Conservation Trust (parks)</t>
        </is>
      </c>
      <c r="B5" s="17" t="n">
        <v>343690</v>
      </c>
      <c r="C5" s="17" t="n">
        <v>-179698</v>
      </c>
      <c r="D5" s="5" t="inlineStr">
        <is>
          <t>No</t>
        </is>
      </c>
      <c r="E5" s="5" t="inlineStr">
        <is>
          <t>Restricted to roads, parks, and trails.</t>
        </is>
      </c>
    </row>
    <row r="6">
      <c r="A6" s="10" t="inlineStr">
        <is>
          <t>General Fund</t>
        </is>
      </c>
      <c r="B6" s="17" t="n">
        <v>0</v>
      </c>
      <c r="C6" s="17" t="n">
        <v>1456233</v>
      </c>
      <c r="D6" s="5" t="inlineStr">
        <is>
          <t>Yes, if the Board appropriates it</t>
        </is>
      </c>
      <c r="E6" s="5" t="inlineStr">
        <is>
          <t>Its cash was negative: the audit says its "negative cash balance of $757,482" is "reported as accounts payable." $147,000 of its fund balance is restricted as the TABOR emergency reserve.</t>
        </is>
      </c>
    </row>
    <row r="7">
      <c r="A7" s="18" t="inlineStr">
        <is>
          <t>Total</t>
        </is>
      </c>
      <c r="B7" s="19">
        <f>SUM(B2:B6)</f>
        <v/>
      </c>
      <c r="C7" s="19">
        <f>SUM(C2:C6)</f>
        <v/>
      </c>
      <c r="D7" t="inlineStr"/>
      <c r="E7" t="inlineStr">
        <is>
          <t>Cash total equals the audit's deposits and investments ($7,154,592); amounts owed and due net to zero.</t>
        </is>
      </c>
    </row>
    <row r="8">
      <c r="A8" s="5" t="inlineStr">
        <is>
          <t>If the other funds paid the General Fund what they owed, and that covered its negative cash balance, the General Fund would hold about $698,751 of the pooled cash and investments ($1,456,233 - $757,482; this workbook's calculation, not an audit figure). The audit expects the amounts owed to clear after year end but doesn't say how the negative balance would be settled. Eldora acquisition costs paid since year end are on the Payments sheet.</t>
        </is>
      </c>
    </row>
    <row r="10">
      <c r="A10" s="20" t="inlineStr">
        <is>
          <t>Key audited figures</t>
        </is>
      </c>
      <c r="B10" s="20" t="inlineStr">
        <is>
          <t>Amount</t>
        </is>
      </c>
      <c r="C10" s="20" t="inlineStr">
        <is>
          <t>Date</t>
        </is>
      </c>
      <c r="D10" s="20" t="inlineStr">
        <is>
          <t>Source</t>
        </is>
      </c>
      <c r="E10" s="20" t="n"/>
    </row>
    <row r="11">
      <c r="A11" t="inlineStr">
        <is>
          <t>CSAFE investment balance</t>
        </is>
      </c>
      <c r="B11" s="19" t="n">
        <v>2700831</v>
      </c>
      <c r="C11" t="inlineStr">
        <is>
          <t>Dec. 31, 2024</t>
        </is>
      </c>
      <c r="D11" t="inlineStr">
        <is>
          <t>2025 audit</t>
        </is>
      </c>
    </row>
    <row r="12">
      <c r="A12" t="inlineStr">
        <is>
          <t>CSAFE investment balance</t>
        </is>
      </c>
      <c r="B12" s="19" t="n">
        <v>2821014</v>
      </c>
      <c r="C12" t="inlineStr">
        <is>
          <t>Dec. 31, 2025</t>
        </is>
      </c>
      <c r="D12" t="inlineStr">
        <is>
          <t>2025 audit</t>
        </is>
      </c>
    </row>
    <row r="13">
      <c r="A13" t="inlineStr">
        <is>
          <t>General Fund fund balance</t>
        </is>
      </c>
      <c r="B13" s="19" t="n">
        <v>1030078</v>
      </c>
      <c r="C13" t="inlineStr">
        <is>
          <t>Dec. 31, 2025</t>
        </is>
      </c>
      <c r="D13" t="inlineStr">
        <is>
          <t>2025 audit</t>
        </is>
      </c>
    </row>
    <row r="14">
      <c r="A14" t="inlineStr">
        <is>
          <t>General Fund unassigned fund balance</t>
        </is>
      </c>
      <c r="B14" s="19" t="n">
        <v>872173</v>
      </c>
      <c r="C14" t="inlineStr">
        <is>
          <t>Dec. 31, 2025</t>
        </is>
      </c>
      <c r="D14" t="inlineStr">
        <is>
          <t>2025 audit</t>
        </is>
      </c>
    </row>
    <row r="15">
      <c r="A15" t="inlineStr">
        <is>
          <t>General Fund negative cash balance (reported as accounts payable)</t>
        </is>
      </c>
      <c r="B15" s="19" t="n">
        <v>-757482</v>
      </c>
      <c r="C15" t="inlineStr">
        <is>
          <t>Dec. 31, 2025</t>
        </is>
      </c>
      <c r="D15" t="inlineStr">
        <is>
          <t>2025 audit</t>
        </is>
      </c>
    </row>
    <row r="16">
      <c r="A16" t="inlineStr">
        <is>
          <t>Owed to the General Fund by other funds</t>
        </is>
      </c>
      <c r="B16" s="19" t="n">
        <v>1456233</v>
      </c>
      <c r="C16" t="inlineStr">
        <is>
          <t>Dec. 31, 2025</t>
        </is>
      </c>
      <c r="D16" t="inlineStr">
        <is>
          <t>2025 audit</t>
        </is>
      </c>
    </row>
    <row r="17">
      <c r="A17" t="inlineStr">
        <is>
          <t>General Fund TABOR emergency reserve</t>
        </is>
      </c>
      <c r="B17" s="19" t="n">
        <v>147000</v>
      </c>
      <c r="C17" t="inlineStr">
        <is>
          <t>Dec. 31, 2025</t>
        </is>
      </c>
      <c r="D17" t="inlineStr">
        <is>
          <t>2025 audit</t>
        </is>
      </c>
    </row>
    <row r="18">
      <c r="A18" t="inlineStr">
        <is>
          <t>General Fund "other receivables"</t>
        </is>
      </c>
      <c r="B18" s="19" t="n">
        <v>6431</v>
      </c>
      <c r="C18" t="inlineStr">
        <is>
          <t>Dec. 31, 2024</t>
        </is>
      </c>
      <c r="D18" t="inlineStr">
        <is>
          <t>2025 audit</t>
        </is>
      </c>
    </row>
    <row r="19">
      <c r="A19" t="inlineStr">
        <is>
          <t>General Fund "other receivables" (not itemized in the audit)</t>
        </is>
      </c>
      <c r="B19" s="19" t="n">
        <v>520055</v>
      </c>
      <c r="C19" t="inlineStr">
        <is>
          <t>Dec. 31, 2025</t>
        </is>
      </c>
      <c r="D19" t="inlineStr">
        <is>
          <t>2025 audit</t>
        </is>
      </c>
    </row>
    <row r="20">
      <c r="A20" t="inlineStr">
        <is>
          <t>General Fund balance projected in the adopted 2026 budget</t>
        </is>
      </c>
      <c r="B20" s="19" t="n">
        <v>583730</v>
      </c>
      <c r="C20" t="inlineStr">
        <is>
          <t>Dec. 31, 2026</t>
        </is>
      </c>
      <c r="D20" t="inlineStr">
        <is>
          <t>2026 budget summary</t>
        </is>
      </c>
    </row>
  </sheetData>
  <autoFilter ref="A1:E6"/>
  <hyperlinks>
    <hyperlink xmlns:r="http://schemas.openxmlformats.org/officeDocument/2006/relationships" ref="D11" r:id="rId1"/>
    <hyperlink xmlns:r="http://schemas.openxmlformats.org/officeDocument/2006/relationships" ref="D12" r:id="rId2"/>
    <hyperlink xmlns:r="http://schemas.openxmlformats.org/officeDocument/2006/relationships" ref="D13" r:id="rId3"/>
    <hyperlink xmlns:r="http://schemas.openxmlformats.org/officeDocument/2006/relationships" ref="D14" r:id="rId4"/>
    <hyperlink xmlns:r="http://schemas.openxmlformats.org/officeDocument/2006/relationships" ref="D15" r:id="rId5"/>
    <hyperlink xmlns:r="http://schemas.openxmlformats.org/officeDocument/2006/relationships" ref="D16" r:id="rId6"/>
    <hyperlink xmlns:r="http://schemas.openxmlformats.org/officeDocument/2006/relationships" ref="D17"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40" customWidth="1" min="1" max="1"/>
    <col width="15" customWidth="1" min="2" max="2"/>
    <col width="15" customWidth="1" min="3" max="3"/>
    <col width="15" customWidth="1" min="4" max="4"/>
    <col width="26" customWidth="1" min="5" max="5"/>
    <col width="22" customWidth="1" min="6" max="6"/>
    <col width="48" customWidth="1" min="7" max="7"/>
  </cols>
  <sheetData>
    <row r="1">
      <c r="A1" s="4" t="inlineStr">
        <is>
          <t>Project</t>
        </is>
      </c>
      <c r="B1" s="4" t="inlineStr">
        <is>
          <t>Total</t>
        </is>
      </c>
      <c r="C1" s="4" t="inlineStr">
        <is>
          <t>Grant share</t>
        </is>
      </c>
      <c r="D1" s="4" t="inlineStr">
        <is>
          <t>Town share</t>
        </is>
      </c>
      <c r="E1" s="4" t="inlineStr">
        <is>
          <t>Note</t>
        </is>
      </c>
      <c r="F1" s="4" t="inlineStr">
        <is>
          <t>Source</t>
        </is>
      </c>
      <c r="G1" s="4" t="inlineStr">
        <is>
          <t>Source URL</t>
        </is>
      </c>
    </row>
    <row r="2">
      <c r="A2" s="10" t="inlineStr">
        <is>
          <t>Eldora, if the sale fails (paid plus confirmed owed)</t>
        </is>
      </c>
      <c r="B2" s="17" t="n">
        <v>2869570.54</v>
      </c>
      <c r="C2" s="17" t="n">
        <v>0</v>
      </c>
      <c r="D2" s="17">
        <f>B2-C2</f>
        <v/>
      </c>
      <c r="E2" s="10" t="inlineStr">
        <is>
          <t>no grants</t>
        </is>
      </c>
      <c r="F2" s="10" t="inlineStr">
        <is>
          <t>Summary sheet</t>
        </is>
      </c>
      <c r="G2" s="10" t="inlineStr"/>
    </row>
    <row r="3">
      <c r="A3" s="10" t="inlineStr">
        <is>
          <t>Eldora, paid so far</t>
        </is>
      </c>
      <c r="B3" s="17" t="n">
        <v>1195949.38</v>
      </c>
      <c r="C3" s="17" t="n">
        <v>0</v>
      </c>
      <c r="D3" s="17">
        <f>B3-C3</f>
        <v/>
      </c>
      <c r="E3" s="10" t="inlineStr">
        <is>
          <t>no grants</t>
        </is>
      </c>
      <c r="F3" s="10" t="inlineStr">
        <is>
          <t>Summary sheet</t>
        </is>
      </c>
      <c r="G3" s="10" t="inlineStr"/>
    </row>
    <row r="4">
      <c r="A4" s="10" t="inlineStr">
        <is>
          <t>Street equipment lease-purchase, 2023</t>
        </is>
      </c>
      <c r="B4" s="17" t="n">
        <v>511000</v>
      </c>
      <c r="C4" s="17" t="n">
        <v>0</v>
      </c>
      <c r="D4" s="17">
        <f>B4-C4</f>
        <v/>
      </c>
      <c r="E4" s="10" t="inlineStr">
        <is>
          <t>repaid over 5 years</t>
        </is>
      </c>
      <c r="F4" s="13" t="inlineStr">
        <is>
          <t>Board packet</t>
        </is>
      </c>
      <c r="G4" s="10" t="inlineStr">
        <is>
          <t>https://nederlandco.civicweb.net/document/44830/</t>
        </is>
      </c>
    </row>
    <row r="5">
      <c r="A5" s="10" t="inlineStr">
        <is>
          <t>Comprehensive Plan, 2023–2025</t>
        </is>
      </c>
      <c r="B5" s="17" t="n">
        <v>205188</v>
      </c>
      <c r="C5" s="17" t="n">
        <v>100000</v>
      </c>
      <c r="D5" s="17">
        <f>B5-C5</f>
        <v/>
      </c>
      <c r="E5" s="10" t="inlineStr">
        <is>
          <t>state grant</t>
        </is>
      </c>
      <c r="F5" s="13" t="inlineStr">
        <is>
          <t>Board packet</t>
        </is>
      </c>
      <c r="G5" s="10" t="inlineStr">
        <is>
          <t>https://nederlandco.civicweb.net/document/119355/</t>
        </is>
      </c>
    </row>
    <row r="6">
      <c r="A6" s="10" t="inlineStr">
        <is>
          <t>Crosswalk improvements, 2026</t>
        </is>
      </c>
      <c r="B6" s="17" t="n">
        <v>360000</v>
      </c>
      <c r="C6" s="17" t="n">
        <v>300000</v>
      </c>
      <c r="D6" s="17">
        <f>B6-C6</f>
        <v/>
      </c>
      <c r="E6" s="10" t="inlineStr">
        <is>
          <t>federal grant</t>
        </is>
      </c>
      <c r="F6" s="13" t="inlineStr">
        <is>
          <t>Board packet</t>
        </is>
      </c>
      <c r="G6" s="10" t="inlineStr">
        <is>
          <t>https://nederlandco.civicweb.net/document/129318/</t>
        </is>
      </c>
    </row>
    <row r="7">
      <c r="A7" s="10" t="inlineStr">
        <is>
          <t>Emergency sirens, proposed 2026</t>
        </is>
      </c>
      <c r="B7" s="17" t="n">
        <v>260000</v>
      </c>
      <c r="C7" s="17" t="n">
        <v>195000</v>
      </c>
      <c r="D7" s="17">
        <f>B7-C7</f>
        <v/>
      </c>
      <c r="E7" s="10" t="inlineStr">
        <is>
          <t>federal grant applied for</t>
        </is>
      </c>
      <c r="F7" s="13" t="inlineStr">
        <is>
          <t>Board packet</t>
        </is>
      </c>
      <c r="G7" s="10" t="inlineStr">
        <is>
          <t>https://nederlandco.civicweb.net/document/130735/</t>
        </is>
      </c>
    </row>
    <row r="8">
      <c r="A8" s="10" t="inlineStr">
        <is>
          <t>Shared housing coordinator, 3 years</t>
        </is>
      </c>
      <c r="B8" s="17" t="n">
        <v>200000</v>
      </c>
      <c r="C8" s="17" t="n">
        <v>160000</v>
      </c>
      <c r="D8" s="17">
        <f>B8-C8</f>
        <v/>
      </c>
      <c r="E8" s="10" t="inlineStr">
        <is>
          <t>state grant</t>
        </is>
      </c>
      <c r="F8" s="13" t="inlineStr">
        <is>
          <t>Board packet</t>
        </is>
      </c>
      <c r="G8" s="10" t="inlineStr">
        <is>
          <t>https://nederlandco.civicweb.net/document/122222/</t>
        </is>
      </c>
    </row>
    <row r="10">
      <c r="A10" s="20" t="inlineStr">
        <is>
          <t>Town budgets</t>
        </is>
      </c>
      <c r="B10" s="20" t="inlineStr">
        <is>
          <t>Amount</t>
        </is>
      </c>
      <c r="C10" s="20" t="inlineStr"/>
      <c r="D10" s="20" t="inlineStr"/>
      <c r="E10" s="20" t="inlineStr">
        <is>
          <t>Note</t>
        </is>
      </c>
      <c r="F10" s="20" t="inlineStr">
        <is>
          <t>Source</t>
        </is>
      </c>
      <c r="G10" s="20" t="inlineStr">
        <is>
          <t>Source URL</t>
        </is>
      </c>
    </row>
    <row r="11">
      <c r="A11" t="inlineStr">
        <is>
          <t>All funds, adopted 2026 budget</t>
        </is>
      </c>
      <c r="B11" s="19" t="n">
        <v>9400000</v>
      </c>
      <c r="E11" t="inlineStr">
        <is>
          <t>about; includes ~$2.25M in grant-funded projects</t>
        </is>
      </c>
      <c r="F11" t="inlineStr">
        <is>
          <t>Board packet</t>
        </is>
      </c>
      <c r="G11" t="inlineStr">
        <is>
          <t>https://nederlandco.civicweb.net/document/126174/</t>
        </is>
      </c>
    </row>
    <row r="12">
      <c r="A12" t="inlineStr">
        <is>
          <t>General Fund operating spending, 2026 budget</t>
        </is>
      </c>
      <c r="B12" s="19" t="n">
        <v>3236824</v>
      </c>
      <c r="E12" t="inlineStr"/>
      <c r="F12" t="inlineStr">
        <is>
          <t>Board packet</t>
        </is>
      </c>
      <c r="G12" t="inlineStr">
        <is>
          <t>https://nederlandco.civicweb.net/document/126178/</t>
        </is>
      </c>
    </row>
    <row r="13">
      <c r="A13" t="inlineStr">
        <is>
          <t>Boulder County Sheriff contract (largest General Fund cost)</t>
        </is>
      </c>
      <c r="B13" s="19" t="n">
        <v>1050000</v>
      </c>
      <c r="E13" t="inlineStr">
        <is>
          <t>about, per year</t>
        </is>
      </c>
      <c r="F13" t="inlineStr">
        <is>
          <t>Board packet</t>
        </is>
      </c>
      <c r="G13" t="inlineStr">
        <is>
          <t>https://nederlandco.civicweb.net/document/116150/</t>
        </is>
      </c>
    </row>
    <row r="14">
      <c r="A14" t="inlineStr">
        <is>
          <t>General Fund capital spending</t>
        </is>
      </c>
      <c r="B14" s="19" t="n">
        <v>200000</v>
      </c>
      <c r="E14" t="inlineStr">
        <is>
          <t>$160,000–$200,000 a year</t>
        </is>
      </c>
      <c r="F14" t="inlineStr">
        <is>
          <t>Board packet</t>
        </is>
      </c>
      <c r="G14" t="inlineStr">
        <is>
          <t>https://nederlandco.civicweb.net/document/126178/</t>
        </is>
      </c>
    </row>
  </sheetData>
  <autoFilter ref="A1:G8"/>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11" r:id="rId6"/>
    <hyperlink xmlns:r="http://schemas.openxmlformats.org/officeDocument/2006/relationships" ref="F12" r:id="rId7"/>
    <hyperlink xmlns:r="http://schemas.openxmlformats.org/officeDocument/2006/relationships" ref="F13" r:id="rId8"/>
    <hyperlink xmlns:r="http://schemas.openxmlformats.org/officeDocument/2006/relationships" ref="F14" r:id="rId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60" customWidth="1" min="3" max="3"/>
    <col width="10" customWidth="1" min="4" max="4"/>
    <col width="40" customWidth="1" min="5" max="5"/>
    <col width="12" customWidth="1" min="6" max="6"/>
    <col width="12" customWidth="1" min="7" max="7"/>
    <col width="14" customWidth="1" min="8" max="8"/>
    <col width="9" customWidth="1" min="9" max="9"/>
    <col width="48" customWidth="1" min="10" max="10"/>
    <col width="80" customWidth="1" min="11" max="11"/>
  </cols>
  <sheetData>
    <row r="1">
      <c r="A1" s="4" t="inlineStr">
        <is>
          <t>Date</t>
        </is>
      </c>
      <c r="B1" s="4" t="inlineStr">
        <is>
          <t>Category</t>
        </is>
      </c>
      <c r="C1" s="4" t="inlineStr">
        <is>
          <t>Description</t>
        </is>
      </c>
      <c r="D1" s="4" t="inlineStr">
        <is>
          <t>Outcome</t>
        </is>
      </c>
      <c r="E1" s="4" t="inlineStr">
        <is>
          <t>Vote</t>
        </is>
      </c>
      <c r="F1" s="4" t="inlineStr">
        <is>
          <t>Mover</t>
        </is>
      </c>
      <c r="G1" s="4" t="inlineStr">
        <is>
          <t>Seconder</t>
        </is>
      </c>
      <c r="H1" s="4" t="inlineStr">
        <is>
          <t>Absent</t>
        </is>
      </c>
      <c r="I1" s="4" t="inlineStr">
        <is>
          <t>Minutes page</t>
        </is>
      </c>
      <c r="J1" s="4" t="inlineStr">
        <is>
          <t>Source URL</t>
        </is>
      </c>
      <c r="K1" s="4" t="inlineStr">
        <is>
          <t>Motion text</t>
        </is>
      </c>
    </row>
    <row r="2">
      <c r="A2" s="9" t="n">
        <v>45538</v>
      </c>
      <c r="B2" s="10" t="inlineStr">
        <is>
          <t>Executive session</t>
        </is>
      </c>
      <c r="C2" s="5" t="inlineStr">
        <is>
          <t>Executive session: purchase of property and operations for recreational activities (C.R.S. 24-6-402(4) a, b, e)</t>
        </is>
      </c>
      <c r="D2" s="10" t="inlineStr">
        <is>
          <t>approved</t>
        </is>
      </c>
      <c r="E2" s="5" t="inlineStr">
        <is>
          <t>Unanimous of those present (7: Giblin, Sterling, Larsen, Maris, Miller, Tye, Corvalan)</t>
        </is>
      </c>
      <c r="F2" s="10" t="inlineStr">
        <is>
          <t>Giblin</t>
        </is>
      </c>
      <c r="G2" s="10" t="inlineStr">
        <is>
          <t>Sterling</t>
        </is>
      </c>
      <c r="H2" s="10" t="inlineStr"/>
      <c r="I2" s="10" t="inlineStr">
        <is>
          <t>1</t>
        </is>
      </c>
      <c r="J2" s="10" t="inlineStr">
        <is>
          <t>https://nederlandco.civicweb.net/document/115749/</t>
        </is>
      </c>
      <c r="K2" s="5" t="inlineStr">
        <is>
          <t>to go into executive session pursuant to CRS Sec. 24-6-402(4)(a), (4)(b), and (4)(e)(1) for consideration of the Town’s purchase of property for recreational activities and other municipal services, to receive legal advice, and to instruct negotiators regarding the same</t>
        </is>
      </c>
    </row>
    <row r="3">
      <c r="A3" s="9" t="n">
        <v>45586</v>
      </c>
      <c r="B3" s="10" t="inlineStr">
        <is>
          <t>Executive session</t>
        </is>
      </c>
      <c r="C3" s="5" t="inlineStr">
        <is>
          <t>Executive session: purchase of property and operations for recreational activities (C.R.S. 24-6-402(4) a, b, e)</t>
        </is>
      </c>
      <c r="D3" s="10" t="inlineStr">
        <is>
          <t>approved</t>
        </is>
      </c>
      <c r="E3" s="5" t="inlineStr">
        <is>
          <t>Unanimous of those present (7: Giblin, Sterling, Corvalan, Miller, Maris, Larsen, Tye)</t>
        </is>
      </c>
      <c r="F3" s="10" t="inlineStr">
        <is>
          <t>Giblin</t>
        </is>
      </c>
      <c r="G3" s="10" t="inlineStr">
        <is>
          <t>Tye</t>
        </is>
      </c>
      <c r="H3" s="10" t="inlineStr"/>
      <c r="I3" s="10" t="inlineStr">
        <is>
          <t>1</t>
        </is>
      </c>
      <c r="J3" s="10" t="inlineStr">
        <is>
          <t>https://nederlandco.civicweb.net/document/117285/</t>
        </is>
      </c>
      <c r="K3" s="5" t="inlineStr">
        <is>
          <t>to go into an Executive session pursuant to C.R.S. section 24-6-402(4)(a), (4)(b), and (4)(e)(roman numeral |) for consideration of the Town's purchase of property for recreational activities and other municipal services, to receive legal advice, and to instruct negotiators regarding the same. And an executive Session pursuant to C.R.S. section 24-6-402(4)(b) and (4)(e)( roman numeral |) to receive legal advice and to consider and determine positions related to the contract for water attorney services</t>
        </is>
      </c>
    </row>
    <row r="4">
      <c r="A4" s="9" t="n">
        <v>45615</v>
      </c>
      <c r="B4" s="10" t="inlineStr">
        <is>
          <t>Executive session</t>
        </is>
      </c>
      <c r="C4" s="5" t="inlineStr">
        <is>
          <t>Executive session: purchase of property and operations for recreational activities (C.R.S. 24-6-402(4) a, b, e)</t>
        </is>
      </c>
      <c r="D4" s="10" t="inlineStr">
        <is>
          <t>approved</t>
        </is>
      </c>
      <c r="E4" s="5" t="inlineStr">
        <is>
          <t>Unanimous of those present (7: Sterling, Maris, Miller, Tye, Giblin, Larsen, Corvalan)</t>
        </is>
      </c>
      <c r="F4" s="10" t="inlineStr">
        <is>
          <t>Giblin</t>
        </is>
      </c>
      <c r="G4" s="10" t="inlineStr">
        <is>
          <t>Miller</t>
        </is>
      </c>
      <c r="H4" s="10" t="inlineStr"/>
      <c r="I4" s="10" t="inlineStr">
        <is>
          <t>1</t>
        </is>
      </c>
      <c r="J4" s="10" t="inlineStr">
        <is>
          <t>https://nederlandco.civicweb.net/document/118154/</t>
        </is>
      </c>
      <c r="K4" s="5" t="inlineStr">
        <is>
          <t>to go into executive session pursuant to C.R.S. section 24-6-402(4)(a), (4)(b), and (4)(e)(I) for consideration of the Town’s purchase of property for recreational activities and other municipal services, to receive legal advice, and to instruct negotiators regarding the same</t>
        </is>
      </c>
    </row>
    <row r="5">
      <c r="A5" s="9" t="n">
        <v>45629</v>
      </c>
      <c r="B5" s="10" t="inlineStr">
        <is>
          <t>Executive session</t>
        </is>
      </c>
      <c r="C5" s="5" t="inlineStr">
        <is>
          <t>Executive session: purchase of property and operations for recreational activities (C.R.S. 24-6-402(4) a, b, e)</t>
        </is>
      </c>
      <c r="D5" s="10" t="inlineStr">
        <is>
          <t>approved</t>
        </is>
      </c>
      <c r="E5" s="5" t="inlineStr">
        <is>
          <t>Unanimous of those present (5: Sterling, Maris, Larsen, Tye, Corvalan); absent: Giblin, Miller</t>
        </is>
      </c>
      <c r="F5" s="10" t="inlineStr">
        <is>
          <t>Larsen</t>
        </is>
      </c>
      <c r="G5" s="10" t="inlineStr">
        <is>
          <t>Tye</t>
        </is>
      </c>
      <c r="H5" s="10" t="inlineStr">
        <is>
          <t>Giblin; Miller</t>
        </is>
      </c>
      <c r="I5" s="10" t="inlineStr">
        <is>
          <t>1</t>
        </is>
      </c>
      <c r="J5" s="10" t="inlineStr">
        <is>
          <t>https://nederlandco.civicweb.net/document/118183/</t>
        </is>
      </c>
      <c r="K5" s="5" t="inlineStr">
        <is>
          <t>to enter into executive session pursuant to C.R.S. section 24-6-402(4)(a), (4)(b), and (4)(e)(I) for consideration of the Town’s purchase of property for recreational activities and other municipal services, to receive legal advice, and to instruct negotiators regarding the same</t>
        </is>
      </c>
    </row>
    <row r="6">
      <c r="A6" s="9" t="n">
        <v>45664</v>
      </c>
      <c r="B6" s="10" t="inlineStr">
        <is>
          <t>Executive session</t>
        </is>
      </c>
      <c r="C6" s="5" t="inlineStr">
        <is>
          <t>Executive session: purchase of property and operations for recreational activities (C.R.S. 24-6-402(4) a, b, e)</t>
        </is>
      </c>
      <c r="D6" s="10" t="inlineStr">
        <is>
          <t>approved</t>
        </is>
      </c>
      <c r="E6" s="5" t="inlineStr">
        <is>
          <t>Unanimous of those present (7: Sterling, Miller, Larsen, Tye, Giblin, Maris, Corvalan)</t>
        </is>
      </c>
      <c r="F6" s="10" t="inlineStr">
        <is>
          <t>Giblin</t>
        </is>
      </c>
      <c r="G6" s="10" t="inlineStr">
        <is>
          <t>Sterling</t>
        </is>
      </c>
      <c r="H6" s="10" t="inlineStr"/>
      <c r="I6" s="10" t="inlineStr">
        <is>
          <t>1</t>
        </is>
      </c>
      <c r="J6" s="10" t="inlineStr">
        <is>
          <t>https://nederlandco.civicweb.net/document/118541/</t>
        </is>
      </c>
      <c r="K6" s="5" t="inlineStr">
        <is>
          <t>to enter into executive session pursuant to C.R.S. section 24-6-402(4)(a), (4)(b), and (4)(e)(I) for consideration of and discussion of the Town's purchase of property for recreational activities and other municipal services to receive legal advice, and to instruct negotiators regarding the same</t>
        </is>
      </c>
    </row>
    <row r="7">
      <c r="A7" s="9" t="n">
        <v>45664</v>
      </c>
      <c r="B7" s="10" t="inlineStr">
        <is>
          <t>Consent</t>
        </is>
      </c>
      <c r="C7" s="5" t="inlineStr">
        <is>
          <t>Ratified retention of Northland Securities as underwriter for possible revenue-bond financing of an Eldora purchase (Res. 2025-02); Letter of Interest to Great Outdoors Colorado for a grant to support the acquisition</t>
        </is>
      </c>
      <c r="D7" s="10" t="inlineStr">
        <is>
          <t>approved</t>
        </is>
      </c>
      <c r="E7" s="5" t="inlineStr">
        <is>
          <t>Unanimous of those present (7: Giblin, Sterling, Miller, Larsen, Tye, Corvalan, Maris)</t>
        </is>
      </c>
      <c r="F7" s="10" t="inlineStr">
        <is>
          <t>Larsen</t>
        </is>
      </c>
      <c r="G7" s="10" t="inlineStr">
        <is>
          <t>Tye</t>
        </is>
      </c>
      <c r="H7" s="10" t="inlineStr"/>
      <c r="I7" s="10" t="inlineStr">
        <is>
          <t>2</t>
        </is>
      </c>
      <c r="J7" s="10" t="inlineStr">
        <is>
          <t>https://nederlandco.civicweb.net/document/118545/</t>
        </is>
      </c>
      <c r="K7" s="5" t="inlineStr">
        <is>
          <t>to approve the Consent Agenda</t>
        </is>
      </c>
    </row>
    <row r="8">
      <c r="A8" s="9" t="n">
        <v>45664</v>
      </c>
      <c r="B8" s="10" t="inlineStr">
        <is>
          <t>Action</t>
        </is>
      </c>
      <c r="C8" s="5" t="inlineStr">
        <is>
          <t>Res. 2025-03: delegated authority to the Town Administrator to engage special legal counsel to evaluate purchasing Eldora Mountain Resort</t>
        </is>
      </c>
      <c r="D8" s="10" t="inlineStr">
        <is>
          <t>approved</t>
        </is>
      </c>
      <c r="E8" s="5" t="inlineStr">
        <is>
          <t>Unanimous of those present (7: Giblin, Sterling, Miller, Larsen, Tye, Corvalan, Maris)</t>
        </is>
      </c>
      <c r="F8" s="10" t="inlineStr">
        <is>
          <t>Miller</t>
        </is>
      </c>
      <c r="G8" s="10" t="inlineStr">
        <is>
          <t>Larsen</t>
        </is>
      </c>
      <c r="H8" s="10" t="inlineStr"/>
      <c r="I8" s="10" t="inlineStr">
        <is>
          <t>2</t>
        </is>
      </c>
      <c r="J8" s="10" t="inlineStr">
        <is>
          <t>https://nederlandco.civicweb.net/document/118545/</t>
        </is>
      </c>
      <c r="K8" s="5" t="inlineStr">
        <is>
          <t>to approve Resolution 2025-03 delegating authority to the Town Administrator to engage special legal counsel</t>
        </is>
      </c>
    </row>
    <row r="9">
      <c r="A9" s="9" t="n">
        <v>45672</v>
      </c>
      <c r="B9" s="10" t="inlineStr">
        <is>
          <t>Executive session</t>
        </is>
      </c>
      <c r="C9" s="5" t="inlineStr">
        <is>
          <t>Executive session: purchase of property and operations for recreational activities (C.R.S. 24-6-402(4) a, b, e)</t>
        </is>
      </c>
      <c r="D9" s="10" t="inlineStr">
        <is>
          <t>approved</t>
        </is>
      </c>
      <c r="E9" s="5" t="inlineStr">
        <is>
          <t>Unanimous of those present (4: Giblin, Maris, Miller, Tye); absent: Sterling, Corvalan, Larsen</t>
        </is>
      </c>
      <c r="F9" s="10" t="inlineStr">
        <is>
          <t>Giblin</t>
        </is>
      </c>
      <c r="G9" s="10" t="inlineStr">
        <is>
          <t>Tye</t>
        </is>
      </c>
      <c r="H9" s="10" t="inlineStr">
        <is>
          <t>Sterling; Corvalan; Larsen</t>
        </is>
      </c>
      <c r="I9" s="10" t="inlineStr">
        <is>
          <t>1</t>
        </is>
      </c>
      <c r="J9" s="10" t="inlineStr">
        <is>
          <t>https://nederlandco.civicweb.net/document/118536/</t>
        </is>
      </c>
      <c r="K9" s="5" t="inlineStr">
        <is>
          <t>to enter into executive session pursuant to C.R.S. section 24-6-402(4)(a), (4)(b), and (4)(e)(I) for consideration of and discussion of the Town’s purchase of property for recreational activities and other municipal services to receive legal advice, and to instruct negotiators regarding the same</t>
        </is>
      </c>
    </row>
    <row r="10">
      <c r="A10" s="9" t="n">
        <v>45678</v>
      </c>
      <c r="B10" s="10" t="inlineStr">
        <is>
          <t>Action</t>
        </is>
      </c>
      <c r="C10" s="5" t="inlineStr">
        <is>
          <t>Ord. 873 (emergency): established the Mountain Recreation Enterprise Fund "to support the Town's strategic efforts regarding the potential acquisition and operation of the Eldora Ski Area"</t>
        </is>
      </c>
      <c r="D10" s="10" t="inlineStr">
        <is>
          <t>approved</t>
        </is>
      </c>
      <c r="E10" s="5" t="inlineStr">
        <is>
          <t>Unanimous of those present (7: Giblin, Maris, Miller, Tye, Sterling, Corvalan, Larsen) [roll call: Mayor Pro Tem Sterling left the meeting at 8:04 pm.]</t>
        </is>
      </c>
      <c r="F10" s="10" t="inlineStr">
        <is>
          <t>Sterling</t>
        </is>
      </c>
      <c r="G10" s="10" t="inlineStr">
        <is>
          <t>Giblin</t>
        </is>
      </c>
      <c r="H10" s="10" t="inlineStr"/>
      <c r="I10" s="10" t="inlineStr">
        <is>
          <t>3</t>
        </is>
      </c>
      <c r="J10" s="10" t="inlineStr">
        <is>
          <t>https://nederlandco.civicweb.net/document/119617/</t>
        </is>
      </c>
      <c r="K10" s="5" t="inlineStr">
        <is>
          <t>to approve Ordinance 873, the emergency ordinance establishing an enterprise fund for ski recreation, as presented, to support the Town’s strategic efforts regarding the potential acquisition and operation of the Eldora Ski Area</t>
        </is>
      </c>
    </row>
    <row r="11">
      <c r="A11" s="9" t="n">
        <v>45734</v>
      </c>
      <c r="B11" s="10" t="inlineStr">
        <is>
          <t>Related</t>
        </is>
      </c>
      <c r="C11" s="5" t="inlineStr">
        <is>
          <t>Executive session on water-court matters, including Eldora's Application for Conditional Storage Rights (Case No. 23CW3176) and Nederland's Statement of Opposition</t>
        </is>
      </c>
      <c r="D11" s="10" t="inlineStr">
        <is>
          <t>approved</t>
        </is>
      </c>
      <c r="E11" s="5" t="inlineStr">
        <is>
          <t>Unanimous of those present (5: Sterling, Larsen, Tye, Giblin, Corvalan); absent: Maris, Miller</t>
        </is>
      </c>
      <c r="F11" s="10" t="inlineStr">
        <is>
          <t>Giblin</t>
        </is>
      </c>
      <c r="G11" s="10" t="inlineStr">
        <is>
          <t>Tye</t>
        </is>
      </c>
      <c r="H11" s="10" t="inlineStr">
        <is>
          <t>Maris; Miller</t>
        </is>
      </c>
      <c r="I11" s="10" t="inlineStr">
        <is>
          <t>1</t>
        </is>
      </c>
      <c r="J11" s="10" t="inlineStr">
        <is>
          <t>https://nederlandco.civicweb.net/document/120416/</t>
        </is>
      </c>
      <c r="K11" s="5" t="inlineStr">
        <is>
          <t>to enter into executive session pursuant to C.R.S. § 24-6-402 (4)(b), and (4)(e)(I) to receive legal advice and to instruct negotiators regarding Nederland’s Application for Reasonable Diligence, Water Court Case Nos. 24CW3021, Eldora’s Application for Conditional Storage Rights, Water Court Case No. 23CW3176 and Nederland’s Statement of Opposition in that matter, and continued development of Nederland’s water rights</t>
        </is>
      </c>
    </row>
    <row r="12">
      <c r="A12" s="9" t="n">
        <v>45740</v>
      </c>
      <c r="B12" s="10" t="inlineStr">
        <is>
          <t>Executive session</t>
        </is>
      </c>
      <c r="C12" s="5" t="inlineStr">
        <is>
          <t>Executive session: purchase of property and operations for recreational activities (C.R.S. 24-6-402(4) a, b, e)</t>
        </is>
      </c>
      <c r="D12" s="10" t="inlineStr">
        <is>
          <t>approved</t>
        </is>
      </c>
      <c r="E12" s="5" t="inlineStr">
        <is>
          <t>Unanimous of those present (7: Giblin, Sterling, Corvalan, Maris, Miller, Larsen, Tye)</t>
        </is>
      </c>
      <c r="F12" s="10" t="inlineStr">
        <is>
          <t>Giblin</t>
        </is>
      </c>
      <c r="G12" s="10" t="inlineStr">
        <is>
          <t>Tye</t>
        </is>
      </c>
      <c r="H12" s="10" t="inlineStr"/>
      <c r="I12" s="10" t="inlineStr">
        <is>
          <t>1</t>
        </is>
      </c>
      <c r="J12" s="10" t="inlineStr">
        <is>
          <t>https://nederlandco.civicweb.net/document/120420/</t>
        </is>
      </c>
      <c r="K12" s="5" t="inlineStr">
        <is>
          <t>to enter into executive session pursuant to C.R.S. section 24-6-402(4)(a), (4)(b), and (4)(e)(I) for consideration of and discussion of the Town's purchase of property for recreational activities and other municipal services, to receive legal advice, and to instruct negotiators regarding the same</t>
        </is>
      </c>
    </row>
    <row r="13">
      <c r="A13" s="9" t="n">
        <v>45762</v>
      </c>
      <c r="B13" s="10" t="inlineStr">
        <is>
          <t>Executive session</t>
        </is>
      </c>
      <c r="C13" s="5" t="inlineStr">
        <is>
          <t>Executive session: purchase of property and operations for recreational activities (C.R.S. 24-6-402(4) a, b, e)</t>
        </is>
      </c>
      <c r="D13" s="10" t="inlineStr">
        <is>
          <t>approved</t>
        </is>
      </c>
      <c r="E13" s="5" t="inlineStr">
        <is>
          <t>Unanimous of those present (6: Giblin, Sterling, Miller, Maris, Tye, Corvalan); absent: Larsen [roll call: Trustee Corvalan joined the meeting at 6:03 pm.]</t>
        </is>
      </c>
      <c r="F13" s="10" t="inlineStr">
        <is>
          <t>Giblin</t>
        </is>
      </c>
      <c r="G13" s="10" t="inlineStr">
        <is>
          <t>Tye</t>
        </is>
      </c>
      <c r="H13" s="10" t="inlineStr">
        <is>
          <t>Larsen</t>
        </is>
      </c>
      <c r="I13" s="10" t="inlineStr">
        <is>
          <t>1</t>
        </is>
      </c>
      <c r="J13" s="10" t="inlineStr">
        <is>
          <t>https://nederlandco.civicweb.net/document/121533/</t>
        </is>
      </c>
      <c r="K13" s="5" t="inlineStr">
        <is>
          <t>to enter into executive session pursuant to C.R.S. section 24-6-402(4)(a), (4)(b), and (4)(e)(I) for consideration of and discussion of the Town’s purchase of property and operations for recreational activities and other municipal services, to receive legal advice, and to instruct negotiators regarding the same</t>
        </is>
      </c>
    </row>
    <row r="14">
      <c r="A14" s="9" t="n">
        <v>45762</v>
      </c>
      <c r="B14" s="10" t="inlineStr">
        <is>
          <t>Consent</t>
        </is>
      </c>
      <c r="C14" s="5" t="inlineStr">
        <is>
          <t>Res. 2025-08: ratified a non-binding Letter of Intent with J.P. Morgan Securities as potential underwriter of revenue bonds for an Eldora acquisition</t>
        </is>
      </c>
      <c r="D14" s="10" t="inlineStr">
        <is>
          <t>approved</t>
        </is>
      </c>
      <c r="E14" s="5" t="inlineStr">
        <is>
          <t>Unanimous of those present (6: Giblin, Sterling, Miller, Maris, Tye, Corvalan); absent: Larsen</t>
        </is>
      </c>
      <c r="F14" s="10" t="inlineStr">
        <is>
          <t>Sterling</t>
        </is>
      </c>
      <c r="G14" s="10" t="inlineStr">
        <is>
          <t>Maris</t>
        </is>
      </c>
      <c r="H14" s="10" t="inlineStr">
        <is>
          <t>Larsen</t>
        </is>
      </c>
      <c r="I14" s="10" t="inlineStr">
        <is>
          <t>1</t>
        </is>
      </c>
      <c r="J14" s="10" t="inlineStr">
        <is>
          <t>https://nederlandco.civicweb.net/document/121537/</t>
        </is>
      </c>
      <c r="K14" s="5" t="inlineStr">
        <is>
          <t>to approve the Consent Agenda</t>
        </is>
      </c>
    </row>
    <row r="15">
      <c r="A15" s="9" t="n">
        <v>45776</v>
      </c>
      <c r="B15" s="10" t="inlineStr">
        <is>
          <t>Executive session</t>
        </is>
      </c>
      <c r="C15" s="5" t="inlineStr">
        <is>
          <t>Executive session: purchase of property and operations for recreational activities (C.R.S. 24-6-402(4) f, a, b, e); also: Town Administrator/Manager personnel matter</t>
        </is>
      </c>
      <c r="D15" s="10" t="inlineStr">
        <is>
          <t>approved</t>
        </is>
      </c>
      <c r="E15" s="5" t="inlineStr">
        <is>
          <t>Unanimous of those present (7: Giblin, Sterling, Maris, Miller, Tye, Larsen, Corvalan) [roll call: Trustee Larsen joined the meeting at 6:04 pm. Trustee Corvalan joined the meeting at 7:03 pm. Trustee Maris left the meeting at 7:56 pm.]</t>
        </is>
      </c>
      <c r="F15" s="10" t="inlineStr">
        <is>
          <t>Giblin</t>
        </is>
      </c>
      <c r="G15" s="10" t="inlineStr">
        <is>
          <t>Tye</t>
        </is>
      </c>
      <c r="H15" s="10" t="inlineStr"/>
      <c r="I15" s="10" t="inlineStr">
        <is>
          <t>1</t>
        </is>
      </c>
      <c r="J15" s="10" t="inlineStr">
        <is>
          <t>https://nederlandco.civicweb.net/document/121529/</t>
        </is>
      </c>
      <c r="K15" s="5" t="inlineStr">
        <is>
          <t>to enter into executive session pursuant C.R.S. section 24-6-402(4)(f)(I) for a discussion of a personnel matter involving evaluation of the Town Administrator. The Town Administrator has consented to the executive session; and to enter into Executive Session pursuant to C.R.S. section 24-6-402(4)(a), (4)(b), and (4)(e)(I) for consideration of and discussion of the Town’s purchase of property and operations for recreational activities and other municipal services, to receive legal advice, and to instruct negotiators regarding the same</t>
        </is>
      </c>
    </row>
    <row r="16">
      <c r="A16" s="9" t="n">
        <v>45797</v>
      </c>
      <c r="B16" s="10" t="inlineStr">
        <is>
          <t>Executive session</t>
        </is>
      </c>
      <c r="C16" s="5" t="inlineStr">
        <is>
          <t>Executive session: purchase of property and operations for recreational activities (C.R.S. 24-6-402(4) a, b, e)</t>
        </is>
      </c>
      <c r="D16" s="10" t="inlineStr">
        <is>
          <t>approved</t>
        </is>
      </c>
      <c r="E16" s="5" t="inlineStr">
        <is>
          <t>Unanimous of those present (7: Giblin, Sterling, Miller, Maris, Tye, Corvalan, Larsen)</t>
        </is>
      </c>
      <c r="F16" s="10" t="inlineStr">
        <is>
          <t>Giblin</t>
        </is>
      </c>
      <c r="G16" s="10" t="inlineStr">
        <is>
          <t>Tye</t>
        </is>
      </c>
      <c r="H16" s="10" t="inlineStr"/>
      <c r="I16" s="10" t="inlineStr">
        <is>
          <t>1</t>
        </is>
      </c>
      <c r="J16" s="10" t="inlineStr">
        <is>
          <t>https://nederlandco.civicweb.net/document/123026/</t>
        </is>
      </c>
      <c r="K16" s="5" t="inlineStr">
        <is>
          <t>to enter into executive session pursuant to C.R.S. section 24-6-402(4)(a), (4)(b), and (4)(e)(I) for consideration of and discussion of the Town’s purchase of property and operations for recreational activities and other municipal services, to receive legal advice, and to instruct negotiators regarding the same</t>
        </is>
      </c>
    </row>
    <row r="17">
      <c r="A17" s="9" t="n">
        <v>45797</v>
      </c>
      <c r="B17" s="10" t="inlineStr">
        <is>
          <t>Consent</t>
        </is>
      </c>
      <c r="C17" s="5" t="inlineStr">
        <is>
          <t>Res. 2025-11: delegated authority to the Town Administrator to retain additional underwriters and financial advisors for the possible purchase</t>
        </is>
      </c>
      <c r="D17" s="10" t="inlineStr">
        <is>
          <t>approved</t>
        </is>
      </c>
      <c r="E17" s="5" t="inlineStr">
        <is>
          <t>Unanimous of those present (6: Giblin, Sterling, Maris, Tye, Corvalan, Larsen); absent: Miller</t>
        </is>
      </c>
      <c r="F17" s="10" t="inlineStr">
        <is>
          <t>Sterling</t>
        </is>
      </c>
      <c r="G17" s="10" t="inlineStr">
        <is>
          <t>Maris</t>
        </is>
      </c>
      <c r="H17" s="10" t="inlineStr">
        <is>
          <t>Miller</t>
        </is>
      </c>
      <c r="I17" s="10" t="inlineStr">
        <is>
          <t>1</t>
        </is>
      </c>
      <c r="J17" s="10" t="inlineStr">
        <is>
          <t>https://nederlandco.civicweb.net/document/123034/</t>
        </is>
      </c>
      <c r="K17" s="5" t="inlineStr">
        <is>
          <t>to approve the Consent Agenda</t>
        </is>
      </c>
    </row>
    <row r="18">
      <c r="A18" s="9" t="n">
        <v>45853</v>
      </c>
      <c r="B18" s="10" t="inlineStr">
        <is>
          <t>Consent</t>
        </is>
      </c>
      <c r="C18" s="5" t="inlineStr">
        <is>
          <t>Res. 2025-15: due-diligence agreement with SE Group (financial, operational, and infrastructure review of Eldora). Also approved, as a separate consent item: engagement of Dickinson Wright PLLC for water-rights due diligence on the acquisition</t>
        </is>
      </c>
      <c r="D18" s="10" t="inlineStr">
        <is>
          <t>approved</t>
        </is>
      </c>
      <c r="E18" s="5" t="inlineStr">
        <is>
          <t>Unanimous of those present (5: Giblin, Larsen, Maris, Miller, Corvalan); absent: Sterling, Tye</t>
        </is>
      </c>
      <c r="F18" s="10" t="inlineStr">
        <is>
          <t>Larsen</t>
        </is>
      </c>
      <c r="G18" s="10" t="inlineStr">
        <is>
          <t>Miller</t>
        </is>
      </c>
      <c r="H18" s="10" t="inlineStr">
        <is>
          <t>Sterling; Tye</t>
        </is>
      </c>
      <c r="I18" s="10" t="inlineStr">
        <is>
          <t>1</t>
        </is>
      </c>
      <c r="J18" s="10" t="inlineStr">
        <is>
          <t>https://nederlandco.civicweb.net/document/124161/</t>
        </is>
      </c>
      <c r="K18" s="5" t="inlineStr">
        <is>
          <t>to approve the Consent Agenda</t>
        </is>
      </c>
    </row>
    <row r="19">
      <c r="A19" s="9" t="n">
        <v>45874</v>
      </c>
      <c r="B19" s="10" t="inlineStr">
        <is>
          <t>Consent</t>
        </is>
      </c>
      <c r="C19" s="5" t="inlineStr">
        <is>
          <t>Res. 2025-16: authorized the Town Manager to engage legal counsel for the acquisition, naming Kline Alvarado Veio as bond counsel (staff memo notes the Town had entered a non-binding term sheet)</t>
        </is>
      </c>
      <c r="D19" s="10" t="inlineStr">
        <is>
          <t>approved</t>
        </is>
      </c>
      <c r="E19" s="5" t="inlineStr">
        <is>
          <t>Unanimous of those present (7: Sterling, Maris, Miller, Tye, Larsen, Giblin, Corvalan)</t>
        </is>
      </c>
      <c r="F19" s="10" t="inlineStr">
        <is>
          <t>Miller</t>
        </is>
      </c>
      <c r="G19" s="10" t="inlineStr">
        <is>
          <t>Tye</t>
        </is>
      </c>
      <c r="H19" s="10" t="inlineStr"/>
      <c r="I19" s="10" t="inlineStr">
        <is>
          <t>1</t>
        </is>
      </c>
      <c r="J19" s="10" t="inlineStr">
        <is>
          <t>https://nederlandco.civicweb.net/document/124165/</t>
        </is>
      </c>
      <c r="K19" s="5" t="inlineStr">
        <is>
          <t>to approve the Consent Agenda</t>
        </is>
      </c>
    </row>
    <row r="20">
      <c r="A20" s="9" t="n">
        <v>45874</v>
      </c>
      <c r="B20" s="10" t="inlineStr">
        <is>
          <t>Action</t>
        </is>
      </c>
      <c r="C20" s="5" t="inlineStr">
        <is>
          <t>Res. 2025-17: declared the Town's official intent to reimburse Eldora project expenditures from a future bond issue</t>
        </is>
      </c>
      <c r="D20" s="10" t="inlineStr">
        <is>
          <t>approved</t>
        </is>
      </c>
      <c r="E20" s="5" t="inlineStr">
        <is>
          <t>Unanimous of those present (7: Sterling, Maris, Miller, Tye, Larsen, Giblin, Corvalan)</t>
        </is>
      </c>
      <c r="F20" s="10" t="inlineStr">
        <is>
          <t>Maris</t>
        </is>
      </c>
      <c r="G20" s="10" t="inlineStr">
        <is>
          <t>Miller</t>
        </is>
      </c>
      <c r="H20" s="10" t="inlineStr"/>
      <c r="I20" s="10" t="inlineStr">
        <is>
          <t>2</t>
        </is>
      </c>
      <c r="J20" s="10" t="inlineStr">
        <is>
          <t>https://nederlandco.civicweb.net/document/124165/</t>
        </is>
      </c>
      <c r="K20" s="5" t="inlineStr">
        <is>
          <t>to approve Resolution 2025-17 a resolution declaring the Town’s official intent to reimburse certain Project-related expenditures from a future bond issuance</t>
        </is>
      </c>
    </row>
    <row r="21">
      <c r="A21" s="9" t="n">
        <v>45888</v>
      </c>
      <c r="B21" s="10" t="inlineStr">
        <is>
          <t>Executive session</t>
        </is>
      </c>
      <c r="C21" s="5" t="inlineStr">
        <is>
          <t>Executive session: purchase of property and operations for recreational activities (C.R.S. 24-6-402(4) a, b, e)</t>
        </is>
      </c>
      <c r="D21" s="10" t="inlineStr">
        <is>
          <t>approved</t>
        </is>
      </c>
      <c r="E21" s="5" t="inlineStr">
        <is>
          <t>Unanimous of those present (7: Maris, Miller, Larsen, Tye, Giblin, Sterling, Corvalan)</t>
        </is>
      </c>
      <c r="F21" s="10" t="inlineStr">
        <is>
          <t>Giblin</t>
        </is>
      </c>
      <c r="G21" s="10" t="inlineStr">
        <is>
          <t>Tye</t>
        </is>
      </c>
      <c r="H21" s="10" t="inlineStr"/>
      <c r="I21" s="10" t="inlineStr">
        <is>
          <t>1</t>
        </is>
      </c>
      <c r="J21" s="10" t="inlineStr">
        <is>
          <t>https://nederlandco.civicweb.net/document/125531/</t>
        </is>
      </c>
      <c r="K21" s="5" t="inlineStr">
        <is>
          <t>to enter into executive session pursuant to C.R.S. section 24-6-402(4)(a), (4)(b), and (4)(e)(I) for consideration of and discussion of the Town's purchase of property for recreational activities and other municipal services, to receive legal advice, and to instruct negotiators regarding the same</t>
        </is>
      </c>
    </row>
    <row r="22">
      <c r="A22" s="9" t="n">
        <v>45902</v>
      </c>
      <c r="B22" s="10" t="inlineStr">
        <is>
          <t>Executive session</t>
        </is>
      </c>
      <c r="C22" s="5" t="inlineStr">
        <is>
          <t>Executive session: purchase of property and operations for recreational activities (C.R.S. 24-6-402(4) a, b, e)</t>
        </is>
      </c>
      <c r="D22" s="10" t="inlineStr">
        <is>
          <t>approved</t>
        </is>
      </c>
      <c r="E22" s="5" t="inlineStr">
        <is>
          <t>Unanimous of those present (6: Sterling, Miller, Tye, Giblin, Corvalan, Maris); absent: Larsen [roll call: Trustee Maris joined the meeting at 6:06 pm.]</t>
        </is>
      </c>
      <c r="F22" s="10" t="inlineStr">
        <is>
          <t>Giblin</t>
        </is>
      </c>
      <c r="G22" s="10" t="inlineStr">
        <is>
          <t>Miller</t>
        </is>
      </c>
      <c r="H22" s="10" t="inlineStr">
        <is>
          <t>Larsen</t>
        </is>
      </c>
      <c r="I22" s="10" t="inlineStr">
        <is>
          <t>1</t>
        </is>
      </c>
      <c r="J22" s="10" t="inlineStr">
        <is>
          <t>https://nederlandco.civicweb.net/document/125963/</t>
        </is>
      </c>
      <c r="K22" s="5" t="inlineStr">
        <is>
          <t>to enter into executive session pursuant to C.R.S. section 24-6-402(4)(a), (4)(b), and (4)(e)(I) for consideration of and discussion of the Town's purchase of property for recreational activities and other municipal services, to receive legal advice, and to instruct negotiators regarding the same</t>
        </is>
      </c>
    </row>
    <row r="23">
      <c r="A23" s="9" t="n">
        <v>45902</v>
      </c>
      <c r="B23" s="10" t="inlineStr">
        <is>
          <t>Consent</t>
        </is>
      </c>
      <c r="C23" s="5" t="inlineStr">
        <is>
          <t>Res. 2025-19: ratified retention of third-party consultants for due diligence on the Eldora acquisition</t>
        </is>
      </c>
      <c r="D23" s="10" t="inlineStr">
        <is>
          <t>approved</t>
        </is>
      </c>
      <c r="E23" s="5" t="inlineStr">
        <is>
          <t>Unanimous of those present (6: Giblin, Sterling, Maris, Miller, Tye, Corvalan); absent: Larsen</t>
        </is>
      </c>
      <c r="F23" s="10" t="inlineStr">
        <is>
          <t>Miller</t>
        </is>
      </c>
      <c r="G23" s="10" t="inlineStr">
        <is>
          <t>Tye</t>
        </is>
      </c>
      <c r="H23" s="10" t="inlineStr">
        <is>
          <t>Larsen</t>
        </is>
      </c>
      <c r="I23" s="10" t="inlineStr">
        <is>
          <t>1</t>
        </is>
      </c>
      <c r="J23" s="10" t="inlineStr">
        <is>
          <t>https://nederlandco.civicweb.net/document/125967/</t>
        </is>
      </c>
      <c r="K23" s="5" t="inlineStr">
        <is>
          <t>to approve the Consent Agenda</t>
        </is>
      </c>
    </row>
    <row r="24">
      <c r="A24" s="9" t="n">
        <v>45930</v>
      </c>
      <c r="B24" s="10" t="inlineStr">
        <is>
          <t>Executive session</t>
        </is>
      </c>
      <c r="C24" s="5" t="inlineStr">
        <is>
          <t>Executive session: purchase of property and operations for recreational activities (C.R.S. 24-6-402(4) a, b, e)</t>
        </is>
      </c>
      <c r="D24" s="10" t="inlineStr">
        <is>
          <t>approved</t>
        </is>
      </c>
      <c r="E24" s="5" t="inlineStr">
        <is>
          <t>Unanimous of those present (5: Sterling, Larsen, Maris, Corvalan, Miller); absent: Tye [roll call: Trustee Miller joined the meeting at 5:34 pm.]</t>
        </is>
      </c>
      <c r="F24" s="10" t="inlineStr">
        <is>
          <t>Sterling</t>
        </is>
      </c>
      <c r="G24" s="10" t="inlineStr">
        <is>
          <t>Larsen</t>
        </is>
      </c>
      <c r="H24" s="10" t="inlineStr">
        <is>
          <t>Tye</t>
        </is>
      </c>
      <c r="I24" s="10" t="inlineStr">
        <is>
          <t>1</t>
        </is>
      </c>
      <c r="J24" s="10" t="inlineStr">
        <is>
          <t>https://nederlandco.civicweb.net/document/125543/</t>
        </is>
      </c>
      <c r="K24" s="5" t="inlineStr">
        <is>
          <t>to enter into executive session pursuant to C.R.S. section 24-6-402(4)(a), (4)(b), and (4)(e)(I) for consideration of and discussion of the Town's purchase of property for recreational activities and other municipal services, to receive legal advice, and to instruct negotiators regarding the same</t>
        </is>
      </c>
    </row>
    <row r="25">
      <c r="A25" s="9" t="n">
        <v>45937</v>
      </c>
      <c r="B25" s="10" t="inlineStr">
        <is>
          <t>Executive session</t>
        </is>
      </c>
      <c r="C25" s="5" t="inlineStr">
        <is>
          <t>Executive session: purchase of property and operations for recreational activities (C.R.S. 24-6-402(4) b, c, e); confidential commercial information</t>
        </is>
      </c>
      <c r="D25" s="10" t="inlineStr">
        <is>
          <t>approved</t>
        </is>
      </c>
      <c r="E25" s="5" t="inlineStr">
        <is>
          <t>Unanimous of those present (6: Giblin, Sterling, Miller, Tye, Corvalan, Maris); absent: Larsen [roll call: Trustee Maris joined the meeting at 6:09 pm.]</t>
        </is>
      </c>
      <c r="F25" s="10" t="inlineStr">
        <is>
          <t>Giblin</t>
        </is>
      </c>
      <c r="G25" s="10" t="inlineStr">
        <is>
          <t>Tye</t>
        </is>
      </c>
      <c r="H25" s="10" t="inlineStr">
        <is>
          <t>Larsen</t>
        </is>
      </c>
      <c r="I25" s="10" t="inlineStr">
        <is>
          <t>1</t>
        </is>
      </c>
      <c r="J25" s="10" t="inlineStr">
        <is>
          <t>https://nederlandco.civicweb.net/document/126577/</t>
        </is>
      </c>
      <c r="K25" s="5" t="inlineStr">
        <is>
          <t>to enter into executive session pursuant to C.R.S. section 24-6-402(4}(a), (4)(b), (4)(c), and (4)(e)(I) for consideration of matters required to be kept confidential by Colorado law, C.R.S. section 24-72- 204(3)(a)(IV) regarding protection of confidential commercial information, and discussion of the Town’s purchase of property and operations for recreational activities and other municipal services, to receive legal advice, and to instruct negotiators regarding the same</t>
        </is>
      </c>
    </row>
    <row r="26">
      <c r="A26" s="9" t="n">
        <v>45937</v>
      </c>
      <c r="B26" s="10" t="inlineStr">
        <is>
          <t>Consent</t>
        </is>
      </c>
      <c r="C26" s="5" t="inlineStr">
        <is>
          <t>Res. 2025-22: ratified retention of contractors and consultants (HR, finance, and accounting and forecasting) related to the acquisition</t>
        </is>
      </c>
      <c r="D26" s="10" t="inlineStr">
        <is>
          <t>approved</t>
        </is>
      </c>
      <c r="E26" s="5" t="inlineStr">
        <is>
          <t>Unanimous of those present (6: Giblin, Sterling, Maris, Larsen, Tye, Corvalan); absent: Miller</t>
        </is>
      </c>
      <c r="F26" s="10" t="inlineStr">
        <is>
          <t>Larsen</t>
        </is>
      </c>
      <c r="G26" s="10" t="inlineStr">
        <is>
          <t>Maris</t>
        </is>
      </c>
      <c r="H26" s="10" t="inlineStr">
        <is>
          <t>Miller</t>
        </is>
      </c>
      <c r="I26" s="10" t="inlineStr">
        <is>
          <t>1</t>
        </is>
      </c>
      <c r="J26" s="10" t="inlineStr">
        <is>
          <t>https://nederlandco.civicweb.net/document/126581/</t>
        </is>
      </c>
      <c r="K26" s="5" t="inlineStr">
        <is>
          <t>to approve the Consent Agenda except for item 3.5 Rescheduling the November 4, 2025 Regular BOT Meeting</t>
        </is>
      </c>
    </row>
    <row r="27">
      <c r="A27" s="9" t="n">
        <v>45951</v>
      </c>
      <c r="B27" s="10" t="inlineStr">
        <is>
          <t>Executive session</t>
        </is>
      </c>
      <c r="C27" s="5" t="inlineStr">
        <is>
          <t>Executive session: purchase of property and operations for recreational activities (C.R.S. 24-6-402(4) a, b, c, e); confidential commercial information</t>
        </is>
      </c>
      <c r="D27" s="10" t="inlineStr">
        <is>
          <t>approved</t>
        </is>
      </c>
      <c r="E27" s="5" t="inlineStr">
        <is>
          <t>Unanimous of those present (4: Giblin, Miller, Maris, Sterling); absent: Tye, Larsen, Corvalan</t>
        </is>
      </c>
      <c r="F27" s="10" t="inlineStr">
        <is>
          <t>Giblin</t>
        </is>
      </c>
      <c r="G27" s="10" t="inlineStr">
        <is>
          <t>Miller</t>
        </is>
      </c>
      <c r="H27" s="10" t="inlineStr">
        <is>
          <t>Tye; Larsen; Corvalan</t>
        </is>
      </c>
      <c r="I27" s="10" t="inlineStr">
        <is>
          <t>1</t>
        </is>
      </c>
      <c r="J27" s="10" t="inlineStr">
        <is>
          <t>https://nederlandco.civicweb.net/document/125515/</t>
        </is>
      </c>
      <c r="K27" s="5" t="inlineStr">
        <is>
          <t>to enter into executive session pursuant to C.R.S. section 24-6-402(4)(a), (4)(b), (4)(c), and (4)(e)(I) for consideration of matters required to be kept confidential by Colorado law, C.R.S. section 24-72- 204(3)(a)(IV) regarding protection of confidential commercial information, and discussion of the Town’s purchase of property and operations for recreational activities and other municipal services, to receive legal advice, and to instruct negotiators regarding the same</t>
        </is>
      </c>
    </row>
    <row r="28">
      <c r="A28" s="9" t="n">
        <v>45960</v>
      </c>
      <c r="B28" s="10" t="inlineStr">
        <is>
          <t>Executive session</t>
        </is>
      </c>
      <c r="C28" s="5" t="inlineStr">
        <is>
          <t>Executive session: purchase of property and operations for recreational activities (C.R.S. 24-6-402(4) a, b, c, e); confidential commercial information</t>
        </is>
      </c>
      <c r="D28" s="10" t="inlineStr">
        <is>
          <t>approved</t>
        </is>
      </c>
      <c r="E28" s="5" t="inlineStr">
        <is>
          <t>Unanimous of those present (5: Giblin, Sterling, Miller, Maris, Corvalan); absent: Tye, Larsen [roll call: Trustee Corvalan joined the meeting at 6:09 pm.]</t>
        </is>
      </c>
      <c r="F28" s="10" t="inlineStr">
        <is>
          <t>Giblin</t>
        </is>
      </c>
      <c r="G28" s="10" t="inlineStr">
        <is>
          <t>Miller</t>
        </is>
      </c>
      <c r="H28" s="10" t="inlineStr">
        <is>
          <t>Tye; Larsen</t>
        </is>
      </c>
      <c r="I28" s="10" t="inlineStr">
        <is>
          <t>1</t>
        </is>
      </c>
      <c r="J28" s="10" t="inlineStr">
        <is>
          <t>https://nederlandco.civicweb.net/document/125516/</t>
        </is>
      </c>
      <c r="K28" s="5" t="inlineStr">
        <is>
          <t>to enter into executive session pursuant to C.R.S. section 24-6-402(4)(a), (4)(b), (4)(c), and (4)(e)(I) for consideration of matters required to be kept confidential by Colorado law, C.R.S. section 24-72- 204(3)(a)(IV) regarding protection of confidential commercial information, and discussion of the Town’s purchase of property and operations for recreational activities and other municipal services, to receive legal advice, and to instruct negotiators regarding the same</t>
        </is>
      </c>
    </row>
    <row r="29">
      <c r="A29" s="9" t="n">
        <v>45966</v>
      </c>
      <c r="B29" s="10" t="inlineStr">
        <is>
          <t>Executive session</t>
        </is>
      </c>
      <c r="C29" s="5" t="inlineStr">
        <is>
          <t>Executive session: purchase of property and operations for recreational activities (C.R.S. 24-6-402(4) a, b, c, e); confidential commercial information</t>
        </is>
      </c>
      <c r="D29" s="10" t="inlineStr">
        <is>
          <t>approved</t>
        </is>
      </c>
      <c r="E29" s="5" t="inlineStr">
        <is>
          <t>Unanimous of those present (5: Larsen, Maris, Miller, Corvalan, Giblin); absent: Sterling, Tye</t>
        </is>
      </c>
      <c r="F29" s="10" t="inlineStr">
        <is>
          <t>Larsen</t>
        </is>
      </c>
      <c r="G29" s="10" t="inlineStr">
        <is>
          <t>Miller</t>
        </is>
      </c>
      <c r="H29" s="10" t="inlineStr">
        <is>
          <t>Sterling; Tye</t>
        </is>
      </c>
      <c r="I29" s="10" t="inlineStr">
        <is>
          <t>1</t>
        </is>
      </c>
      <c r="J29" s="10" t="inlineStr">
        <is>
          <t>https://nederlandco.civicweb.net/document/126569/</t>
        </is>
      </c>
      <c r="K29" s="5" t="inlineStr">
        <is>
          <t>to enter into executive session pursuant to C.R.S. section 24-6-402(4)(a), (4)(b), (4)(c), and (4)(e)(I) for consideration of matters required to be kept confidential by Colorado law, C.R.S. section 24-72- 204(3)(a)(!V) regarding protection of confidential commercial information, and discussion of the Town’s purchase of property and operations for recreational activities and other municipal services, to receive legal advice, and to instruct negotiators regarding the same</t>
        </is>
      </c>
    </row>
    <row r="30">
      <c r="A30" s="9" t="n">
        <v>45979</v>
      </c>
      <c r="B30" s="10" t="inlineStr">
        <is>
          <t>Executive session</t>
        </is>
      </c>
      <c r="C30" s="5" t="inlineStr">
        <is>
          <t>Executive session: purchase of property and operations for recreational activities (C.R.S. 24-6-402(4) a, b, c, e); confidential commercial information</t>
        </is>
      </c>
      <c r="D30" s="10" t="inlineStr">
        <is>
          <t>approved</t>
        </is>
      </c>
      <c r="E30" s="5" t="inlineStr">
        <is>
          <t>Unanimous of those present (6: Sterling, Larsen, Maris, Miller, Giblin, Corvalan)</t>
        </is>
      </c>
      <c r="F30" s="10" t="inlineStr">
        <is>
          <t>Giblin</t>
        </is>
      </c>
      <c r="G30" s="10" t="inlineStr">
        <is>
          <t>Larsen</t>
        </is>
      </c>
      <c r="H30" s="10" t="inlineStr"/>
      <c r="I30" s="10" t="inlineStr">
        <is>
          <t>1</t>
        </is>
      </c>
      <c r="J30" s="10" t="inlineStr">
        <is>
          <t>https://nederlandco.civicweb.net/document/126298/</t>
        </is>
      </c>
      <c r="K30" s="5" t="inlineStr">
        <is>
          <t>to enter into executive session pursuant to C.R.S. section 24-6-402(4)(a), (4)(b), (4)(c), and (4)(e)(I) for consideration of matters required to be kept confidential by Colorado law, C.R.S. section 24-72- 204(3)(a)(IV) regarding protection of confidential commercial information, and discussion of the Town’s purchase of property and operations for recreational activities and other municipal services, to receive legal advice, and to instruct negotiators regarding the same</t>
        </is>
      </c>
    </row>
    <row r="31">
      <c r="A31" s="9" t="n">
        <v>45993</v>
      </c>
      <c r="B31" s="10" t="inlineStr">
        <is>
          <t>Executive session</t>
        </is>
      </c>
      <c r="C31" s="5" t="inlineStr">
        <is>
          <t>Executive session: purchase of property and operations for recreational activities (C.R.S. 24-6-402(4) a, b, c, e); confidential commercial information</t>
        </is>
      </c>
      <c r="D31" s="10" t="inlineStr">
        <is>
          <t>approved</t>
        </is>
      </c>
      <c r="E31" s="5" t="inlineStr">
        <is>
          <t>Unanimous of those present (6: Giblin, Larsen, Maris, Sterling, Corvalan, Miller) [roll call: Trustee Miller joined the meeting virtually at 6:08 pm and left the meeting at 6:52 pm.]</t>
        </is>
      </c>
      <c r="F31" s="10" t="inlineStr">
        <is>
          <t>Giblin</t>
        </is>
      </c>
      <c r="G31" s="10" t="inlineStr">
        <is>
          <t>Maris</t>
        </is>
      </c>
      <c r="H31" s="10" t="inlineStr"/>
      <c r="I31" s="10" t="inlineStr">
        <is>
          <t>1</t>
        </is>
      </c>
      <c r="J31" s="10" t="inlineStr">
        <is>
          <t>https://nederlandco.civicweb.net/document/126589/</t>
        </is>
      </c>
      <c r="K31" s="5" t="inlineStr">
        <is>
          <t>to enter into executive session pursuant to C.R.S. section 24-6-402(4)(a), (4)(b), (4)(c), and (4)(e)(I) for consideration of matters required to be kept confidential by Colorado law, C.R.S. section 24-72- 204(3)(a)(IV) regarding protection of confidential commercial information, and discussion of the Town’s purchase of property and operations for recreational activities and other municipal services, to receive legal advice, and to instruct negotiators regarding the same</t>
        </is>
      </c>
    </row>
    <row r="32">
      <c r="A32" s="9" t="n">
        <v>46007</v>
      </c>
      <c r="B32" s="10" t="inlineStr">
        <is>
          <t>Executive session</t>
        </is>
      </c>
      <c r="C32" s="5" t="inlineStr">
        <is>
          <t>Executive session: purchase of property and operations for recreational activities (C.R.S. 24-6-402(4) a, b, c, e); confidential commercial information</t>
        </is>
      </c>
      <c r="D32" s="10" t="inlineStr">
        <is>
          <t>approved</t>
        </is>
      </c>
      <c r="E32" s="5" t="inlineStr">
        <is>
          <t>Unanimous of those present (6: Sterling, Miller, Maris, Giblin, Larsen, Corvalan)</t>
        </is>
      </c>
      <c r="F32" s="10" t="inlineStr">
        <is>
          <t>Giblin</t>
        </is>
      </c>
      <c r="G32" s="10" t="inlineStr">
        <is>
          <t>Miller</t>
        </is>
      </c>
      <c r="H32" s="10" t="inlineStr"/>
      <c r="I32" s="10" t="inlineStr">
        <is>
          <t>1</t>
        </is>
      </c>
      <c r="J32" s="10" t="inlineStr">
        <is>
          <t>https://nederlandco.civicweb.net/document/127827/</t>
        </is>
      </c>
      <c r="K32" s="5" t="inlineStr">
        <is>
          <t>to enter into executive session pursuant to C.R.S. section 24-6-402(4)(a), (4)(b), (4)(c), and (4)(e)(I) for consideration of matters required to be kept confidential by Colorado law, C.R.S. section 24-72- 204(3)(a)(IV) regarding protection of confidential commercial information, and discussion of the Town’s purchase of property and operations for recreational activities and other municipal services, to receive legal advice, and to instruct negotiators regarding the same</t>
        </is>
      </c>
    </row>
    <row r="33">
      <c r="A33" s="9" t="n">
        <v>46028</v>
      </c>
      <c r="B33" s="10" t="inlineStr">
        <is>
          <t>Executive session</t>
        </is>
      </c>
      <c r="C33" s="5" t="inlineStr">
        <is>
          <t>Executive session: purchase of property and operations for recreational activities (C.R.S. 24-6-402(4) a, b, c, e); confidential commercial information</t>
        </is>
      </c>
      <c r="D33" s="10" t="inlineStr">
        <is>
          <t>approved</t>
        </is>
      </c>
      <c r="E33" s="5" t="inlineStr">
        <is>
          <t>Unanimous of those present (5: Maris, Miller, Joslin, Sterling, Giblin); absent: Corvalan, Larsen</t>
        </is>
      </c>
      <c r="F33" s="10" t="inlineStr">
        <is>
          <t>Giblin</t>
        </is>
      </c>
      <c r="G33" s="10" t="inlineStr">
        <is>
          <t>Miller</t>
        </is>
      </c>
      <c r="H33" s="10" t="inlineStr">
        <is>
          <t>Corvalan; Larsen</t>
        </is>
      </c>
      <c r="I33" s="10" t="inlineStr">
        <is>
          <t>1</t>
        </is>
      </c>
      <c r="J33" s="10" t="inlineStr">
        <is>
          <t>https://nederlandco.civicweb.net/document/127835/</t>
        </is>
      </c>
      <c r="K33" s="5" t="inlineStr">
        <is>
          <t>to enter into executive session pursuant to C.R.S. section 24-6-402(4)(a), (4)(b), (4)(c), and (4)(e)(1) for consideration of matters required to be kept confidential by Colorado law, C.R.S. section 24-72- 204(3)(a)(IV) regarding protection of confidential commercial information, and discussion of the Town’s purchase of property and operations for recreational activities and other municipal services, to receive legal advice, and to instruct negotiators regarding the same</t>
        </is>
      </c>
    </row>
    <row r="34">
      <c r="A34" s="9" t="n">
        <v>46028</v>
      </c>
      <c r="B34" s="10" t="inlineStr">
        <is>
          <t>Action</t>
        </is>
      </c>
      <c r="C34" s="5" t="inlineStr">
        <is>
          <t>Ord. 882: authorized execution of the Asset Purchase Agreement for the acquisition of Eldora Mountain Resort, acting through the Mountain Recreation Enterprise</t>
        </is>
      </c>
      <c r="D34" s="10" t="inlineStr">
        <is>
          <t>approved</t>
        </is>
      </c>
      <c r="E34" s="5" t="inlineStr">
        <is>
          <t>Unanimous of those present (5: Giblin, Maris, Miller, Joslin, Sterling); absent: Larsen, Corvalan</t>
        </is>
      </c>
      <c r="F34" s="10" t="inlineStr">
        <is>
          <t>Sterling</t>
        </is>
      </c>
      <c r="G34" s="10" t="inlineStr">
        <is>
          <t>Giblin</t>
        </is>
      </c>
      <c r="H34" s="10" t="inlineStr">
        <is>
          <t>Larsen; Corvalan</t>
        </is>
      </c>
      <c r="I34" s="10" t="inlineStr">
        <is>
          <t>2</t>
        </is>
      </c>
      <c r="J34" s="10" t="inlineStr">
        <is>
          <t>https://nederlandco.civicweb.net/document/127841/</t>
        </is>
      </c>
      <c r="K34" s="5" t="inlineStr">
        <is>
          <t>to approve Ordinance 882 an ordinance of the Board of Trustees of the Town of Nederland, Colorado, acting by and through the Mountain Recreation Enterprise, authorizing the execution of an Asset Purchase Agreement and related documents for the acquisition of Eldora Mountain Resort; declaring the public purposes and benefits of such acquisition; and authorizing the Mayor or Mayor Pro Tem to execute the documents necessary to effectuate the transaction</t>
        </is>
      </c>
    </row>
    <row r="35">
      <c r="A35" s="9" t="n">
        <v>46042</v>
      </c>
      <c r="B35" s="10" t="inlineStr">
        <is>
          <t>Executive session</t>
        </is>
      </c>
      <c r="C35" s="5" t="inlineStr">
        <is>
          <t>Executive session: purchase of property and operations for recreational activities (C.R.S. 24-6-402(4) a, b, c, e); confidential commercial information</t>
        </is>
      </c>
      <c r="D35" s="10" t="inlineStr">
        <is>
          <t>approved</t>
        </is>
      </c>
      <c r="E35" s="5" t="inlineStr">
        <is>
          <t>Unanimous of those present (7: Sterling, Maris, Miller, Joslin, Giblin, Corvalan, Larsen)</t>
        </is>
      </c>
      <c r="F35" s="10" t="inlineStr">
        <is>
          <t>Giblin</t>
        </is>
      </c>
      <c r="G35" s="10" t="inlineStr">
        <is>
          <t>Miller</t>
        </is>
      </c>
      <c r="H35" s="10" t="inlineStr"/>
      <c r="I35" s="10" t="inlineStr">
        <is>
          <t>1</t>
        </is>
      </c>
      <c r="J35" s="10" t="inlineStr">
        <is>
          <t>https://nederlandco.civicweb.net/document/127856/</t>
        </is>
      </c>
      <c r="K35" s="5" t="inlineStr">
        <is>
          <t>to enter into executive session pursuant to C.R.S. section 24-6-402(4)(a), (4)(b), (4)(c), and (4)(e)(!) for consideration of matters required to be kept confidential by Colorado law, C.R.S. section 24-72- 204(3)(a)(IV) regarding protection of confidential commercial information, and discussion of the Town’s purchase of property and operations for recreational activities and other municipal services, to receive legal advice, and to instruct negotiators regarding the same</t>
        </is>
      </c>
    </row>
    <row r="36">
      <c r="A36" s="9" t="n">
        <v>46042</v>
      </c>
      <c r="B36" s="10" t="inlineStr">
        <is>
          <t>Action</t>
        </is>
      </c>
      <c r="C36" s="5" t="inlineStr">
        <is>
          <t>Ord. 885: authorized issuance and sale of Mountain Recreation Enterprise Revenue Bonds, Series 2026, and the related indenture</t>
        </is>
      </c>
      <c r="D36" s="10" t="inlineStr">
        <is>
          <t>approved</t>
        </is>
      </c>
      <c r="E36" s="5" t="inlineStr">
        <is>
          <t>Unanimous of those present (7: Giblin, Sterling, Maris, Miller, Joslin, Corvalan, Larsen) [roll call: Trustee Corvalan left the meeting early.]</t>
        </is>
      </c>
      <c r="F36" s="10" t="inlineStr">
        <is>
          <t>Sterling</t>
        </is>
      </c>
      <c r="G36" s="10" t="inlineStr">
        <is>
          <t>Giblin</t>
        </is>
      </c>
      <c r="H36" s="10" t="inlineStr"/>
      <c r="I36" s="10" t="inlineStr">
        <is>
          <t>3</t>
        </is>
      </c>
      <c r="J36" s="10" t="inlineStr">
        <is>
          <t>https://nederlandco.civicweb.net/document/127860/</t>
        </is>
      </c>
      <c r="K36" s="5" t="inlineStr">
        <is>
          <t>to approve Ordinance 885 an ordinance of the Board of Trustees of the Town of Nederland, Colorado acting by and through its mountain recreation enterprise, authorizing the issuance and sale of mountain recreation enterprise revenue bonds, series 2026, payable solely out of the available revenues to be derived from the operation of the Town’s mountain recreation enterprise; authorizing an indenture and agreements in connection therewith; providing other matters relating thereto</t>
        </is>
      </c>
    </row>
    <row r="37">
      <c r="A37" s="9" t="n">
        <v>46084</v>
      </c>
      <c r="B37" s="10" t="inlineStr">
        <is>
          <t>Executive session</t>
        </is>
      </c>
      <c r="C37" s="5" t="inlineStr">
        <is>
          <t>Executive session: purchase of property and operations for recreational activities (C.R.S. 24-6-402(4) a, b, c, e); confidential commercial information</t>
        </is>
      </c>
      <c r="D37" s="10" t="inlineStr">
        <is>
          <t>approved</t>
        </is>
      </c>
      <c r="E37" s="5" t="inlineStr">
        <is>
          <t>Unanimous of those present (7: Sterling, Maris, Miller, Larsen, Giblin, Corvalan, Joslin) [roll call: Trustee Corvalan and Trustee Maris joined the meeting at 6:03 pm.]</t>
        </is>
      </c>
      <c r="F37" s="10" t="inlineStr">
        <is>
          <t>Giblin</t>
        </is>
      </c>
      <c r="G37" s="10" t="inlineStr">
        <is>
          <t>Miller</t>
        </is>
      </c>
      <c r="H37" s="10" t="inlineStr"/>
      <c r="I37" s="10" t="inlineStr">
        <is>
          <t>1</t>
        </is>
      </c>
      <c r="J37" s="10" t="inlineStr">
        <is>
          <t>https://nederlandco.civicweb.net/document/128810/</t>
        </is>
      </c>
      <c r="K37" s="5" t="inlineStr">
        <is>
          <t>to enter into executive session pursuant to C.R.S. section 24-6-402(4)(a), (4)(b), (4)(c), and (4)(e)(1) for consideration of matters required to be kept confidential by Colorado law, C.R.S. section 24-72- 204(3)(a)(IV) regarding protection of confidential commercial information, and discussion of the Town’s purchase of property and operations for recreational activities and other municipal services, to receive legal advice, and to instruct negotiators regarding the same</t>
        </is>
      </c>
    </row>
    <row r="38">
      <c r="A38" s="9" t="n">
        <v>46098</v>
      </c>
      <c r="B38" s="10" t="inlineStr">
        <is>
          <t>Consent</t>
        </is>
      </c>
      <c r="C38" s="5" t="inlineStr">
        <is>
          <t>Res. 2026-07: authorized the Town Manager to execute license applications, renewals, and transfers needed to operate Eldora upon acquisition</t>
        </is>
      </c>
      <c r="D38" s="10" t="inlineStr">
        <is>
          <t>approved</t>
        </is>
      </c>
      <c r="E38" s="5" t="inlineStr">
        <is>
          <t>Unanimous of those present (5: Giblin, Sterling, Maris, Miller, Joslin); absent: Corvalan, Larsen</t>
        </is>
      </c>
      <c r="F38" s="10" t="inlineStr">
        <is>
          <t>Miller</t>
        </is>
      </c>
      <c r="G38" s="10" t="inlineStr">
        <is>
          <t>Maris</t>
        </is>
      </c>
      <c r="H38" s="10" t="inlineStr">
        <is>
          <t>Corvalan; Larsen</t>
        </is>
      </c>
      <c r="I38" s="10" t="inlineStr">
        <is>
          <t>1</t>
        </is>
      </c>
      <c r="J38" s="10" t="inlineStr">
        <is>
          <t>https://nederlandco.civicweb.net/document/128818/</t>
        </is>
      </c>
      <c r="K38" s="5" t="inlineStr">
        <is>
          <t>to approve the Consent Agenda</t>
        </is>
      </c>
    </row>
    <row r="39">
      <c r="A39" s="9" t="n">
        <v>46112</v>
      </c>
      <c r="B39" s="10" t="inlineStr">
        <is>
          <t>Consent</t>
        </is>
      </c>
      <c r="C39" s="5" t="inlineStr">
        <is>
          <t>Res. 2026-08 and 2026-09: authorized the Town Manager to execute a U.S. Forest Service Ski Area Term Special Use Permit, and a Cross Resort Pass Product (IKON) Agreement and a Confidentiality and Disclosure Agreement with Alterra Mountain Company, at or in connection with closing</t>
        </is>
      </c>
      <c r="D39" s="10" t="inlineStr">
        <is>
          <t>approved</t>
        </is>
      </c>
      <c r="E39" s="5" t="inlineStr">
        <is>
          <t>Unanimous of those present (6: Giblin, Maris, Miller, Larsen, Joslin, Corvalan); absent: Sterling</t>
        </is>
      </c>
      <c r="F39" s="10" t="inlineStr">
        <is>
          <t>Larsen</t>
        </is>
      </c>
      <c r="G39" s="10" t="inlineStr">
        <is>
          <t>Miller</t>
        </is>
      </c>
      <c r="H39" s="10" t="inlineStr">
        <is>
          <t>Sterling</t>
        </is>
      </c>
      <c r="I39" s="10" t="inlineStr">
        <is>
          <t>1</t>
        </is>
      </c>
      <c r="J39" s="10" t="inlineStr">
        <is>
          <t>https://nederlandco.civicweb.net/document/129071/</t>
        </is>
      </c>
      <c r="K39" s="5" t="inlineStr">
        <is>
          <t>to approve the Consent Agenda</t>
        </is>
      </c>
    </row>
    <row r="40">
      <c r="A40" s="9" t="n">
        <v>46133</v>
      </c>
      <c r="B40" s="10" t="inlineStr">
        <is>
          <t>Consent</t>
        </is>
      </c>
      <c r="C40" s="5" t="inlineStr">
        <is>
          <t>Res. 2026-12: professional services agreement with Plante Moran for operational transition planning and project management</t>
        </is>
      </c>
      <c r="D40" s="10" t="inlineStr">
        <is>
          <t>approved</t>
        </is>
      </c>
      <c r="E40" s="5" t="inlineStr">
        <is>
          <t>Unanimous of those present (5: Sterling, Kennedy, Miller, Larsen, Joslin)</t>
        </is>
      </c>
      <c r="F40" s="10" t="inlineStr">
        <is>
          <t>Larsen</t>
        </is>
      </c>
      <c r="G40" s="10" t="inlineStr">
        <is>
          <t>Miller</t>
        </is>
      </c>
      <c r="H40" s="10" t="inlineStr"/>
      <c r="I40" s="10" t="inlineStr">
        <is>
          <t>1</t>
        </is>
      </c>
      <c r="J40" s="10" t="inlineStr">
        <is>
          <t>https://nederlandco.civicweb.net/document/129700/</t>
        </is>
      </c>
      <c r="K40" s="5" t="inlineStr">
        <is>
          <t>to approve the Consent Agenda</t>
        </is>
      </c>
    </row>
    <row r="41">
      <c r="A41" s="9" t="n">
        <v>46133</v>
      </c>
      <c r="B41" s="10" t="inlineStr">
        <is>
          <t>Action</t>
        </is>
      </c>
      <c r="C41" s="5" t="inlineStr">
        <is>
          <t>Res. 2026-13: authorized emergency expenditures for the Mountain Recreation Enterprise for the acquisition and initial operation of Eldora Mountain Resort (C.R.S. § 29-1-111)</t>
        </is>
      </c>
      <c r="D41" s="10" t="inlineStr">
        <is>
          <t>approved</t>
        </is>
      </c>
      <c r="E41" s="5" t="inlineStr">
        <is>
          <t>Unanimous of those present (5: Sterling, Kennedy, Miller, Larsen, Joslin)</t>
        </is>
      </c>
      <c r="F41" s="10" t="inlineStr">
        <is>
          <t>Sterling</t>
        </is>
      </c>
      <c r="G41" s="10" t="inlineStr">
        <is>
          <t>Miller</t>
        </is>
      </c>
      <c r="H41" s="10" t="inlineStr"/>
      <c r="I41" s="10" t="inlineStr">
        <is>
          <t>4</t>
        </is>
      </c>
      <c r="J41" s="10" t="inlineStr">
        <is>
          <t>https://nederlandco.civicweb.net/document/129700/</t>
        </is>
      </c>
      <c r="K41" s="5" t="inlineStr">
        <is>
          <t>to approve Resolution 2026-13 authorizing emergency expenditures for the Mountain Recreation Enterprise in connection with the acquisition and initial operation of Eldora Mountain Resort pursuant to C.R.S. § 29-1-111</t>
        </is>
      </c>
    </row>
    <row r="42">
      <c r="A42" s="9" t="n">
        <v>46147</v>
      </c>
      <c r="B42" s="10" t="inlineStr">
        <is>
          <t>Executive session</t>
        </is>
      </c>
      <c r="C42" s="5" t="inlineStr">
        <is>
          <t>Executive session: purchase of property and operations for recreational activities (C.R.S. 24-6-402(4) a, b, c, e); confidential commercial information</t>
        </is>
      </c>
      <c r="D42" s="10" t="inlineStr">
        <is>
          <t>approved</t>
        </is>
      </c>
      <c r="E42" s="5" t="inlineStr">
        <is>
          <t>Unanimous of those present (4: Sterling, Miller, Joslin, Kennedy); absent: Larsen</t>
        </is>
      </c>
      <c r="F42" s="10" t="inlineStr">
        <is>
          <t>Sterling</t>
        </is>
      </c>
      <c r="G42" s="10" t="inlineStr">
        <is>
          <t>Miller</t>
        </is>
      </c>
      <c r="H42" s="10" t="inlineStr">
        <is>
          <t>Larsen</t>
        </is>
      </c>
      <c r="I42" s="10" t="inlineStr">
        <is>
          <t>1</t>
        </is>
      </c>
      <c r="J42" s="10" t="inlineStr">
        <is>
          <t>https://nederlandco.civicweb.net/document/129704/</t>
        </is>
      </c>
      <c r="K42" s="5" t="inlineStr">
        <is>
          <t>to enter into executive session pursuant to C.R.S. section 24-6-402(4)(a), (4)(b), (4)(c), and (4)(e)(I) for consideration of matters required to be kept confidential by Colorado law, C.R.S. section 24-72- 204(3)(a)(IV) regarding protection of confidential commercial information, and discussion of the Town’s purchase of property and operations for recreational activities and other municipal services, to receive legal advice, and to instruct negotiators regarding the same</t>
        </is>
      </c>
    </row>
    <row r="43">
      <c r="A43" s="9" t="n">
        <v>46175</v>
      </c>
      <c r="B43" s="10" t="inlineStr">
        <is>
          <t>Executive session</t>
        </is>
      </c>
      <c r="C43" s="5" t="inlineStr">
        <is>
          <t>Executive session: purchase of property and operations for recreational activities (C.R.S. 24-6-402(4) a, b, e, g); issues subject to negotiation</t>
        </is>
      </c>
      <c r="D43" s="10" t="inlineStr">
        <is>
          <t>approved</t>
        </is>
      </c>
      <c r="E43" s="5" t="inlineStr">
        <is>
          <t>Unanimous of those present (6: Sterling, Miller, Larsen, Joslin, Kennedy, Giblin); absent: Donahue</t>
        </is>
      </c>
      <c r="F43" s="10" t="inlineStr">
        <is>
          <t>Sterling</t>
        </is>
      </c>
      <c r="G43" s="10" t="inlineStr">
        <is>
          <t>Miller</t>
        </is>
      </c>
      <c r="H43" s="10" t="inlineStr">
        <is>
          <t>Donahue</t>
        </is>
      </c>
      <c r="I43" s="10" t="inlineStr">
        <is>
          <t>1</t>
        </is>
      </c>
      <c r="J43" s="10" t="inlineStr">
        <is>
          <t>https://nederlandco.civicweb.net/document/130653/</t>
        </is>
      </c>
      <c r="K43" s="5" t="inlineStr">
        <is>
          <t>to enter into executive session pursuant to C.R.S. section 24-6-402(4)(a), (4)(b), (4)(e)(1), and (4)(g) for consideration of and discussion of the Town’s purchase of property and operations for recreational activities and other municipal services, including issues subject to negotiation, to receive legal advice, to instruct negotiators regarding the same, and to discuss documents protected by the mandatory non-disclosure provision of CORA and also pursuant to C.R.S. section 24-6-402(4)(a), (4)(b), and (4)(e)(I) for consideration of and discussion of the Town’s potential acquisition of property in the downtown area</t>
        </is>
      </c>
    </row>
    <row r="44">
      <c r="A44" s="9" t="n">
        <v>46210</v>
      </c>
      <c r="B44" s="10" t="inlineStr">
        <is>
          <t>Executive session</t>
        </is>
      </c>
      <c r="C44" s="5" t="inlineStr">
        <is>
          <t>Executive session: purchase of property and operations for recreational activities (C.R.S. 24-6-402(4) a, b, e, g); issues subject to negotiation</t>
        </is>
      </c>
      <c r="D44" s="10" t="inlineStr">
        <is>
          <t>approved</t>
        </is>
      </c>
      <c r="E44" s="5" t="inlineStr">
        <is>
          <t>Unanimous of those present (6: Sterling, Miller, Donahue, Joslin, Kennedy, Giblin); absent: Larsen</t>
        </is>
      </c>
      <c r="F44" s="10" t="inlineStr">
        <is>
          <t>Sterling</t>
        </is>
      </c>
      <c r="G44" s="10" t="inlineStr">
        <is>
          <t>Kennedy</t>
        </is>
      </c>
      <c r="H44" s="10" t="inlineStr">
        <is>
          <t>Larsen</t>
        </is>
      </c>
      <c r="I44" s="10" t="inlineStr">
        <is>
          <t>1</t>
        </is>
      </c>
      <c r="J44" s="10" t="inlineStr">
        <is>
          <t>https://nederlandco.civicweb.net/document/131159/</t>
        </is>
      </c>
      <c r="K44" s="5" t="inlineStr">
        <is>
          <t>to enter into executive session pursuant to C.R.S. section 24-6-402(4)(a), (4)(b), (4)(e)(I), and (4)(g) for consideration of and discussion of the Town’s purchase of property and operations for recreational activities and other municipal services, including issues subject to negotiation, to receive legal advice, to instruct negotiators regarding the same, and to discuss documents protected by the mandatory non-disclosure provision of CORA and pursuant to C.R.S. section 24-6-402(4)(a), (4)(b), and (4)({e)(I) for consideration of and discussion of the Town’s potential acquisition of property in the downtown area and also pursuant to C.R.S. section 24-6-402(4)(a), (4)(b), and (4)(e)(I) to receive legal advice regarding, and determining positions relative to, the potential acquisition of real property and property interests associated with a proposed emergency access and egress route</t>
        </is>
      </c>
    </row>
    <row r="45">
      <c r="A45" s="9" t="n">
        <v>46210</v>
      </c>
      <c r="B45" s="10" t="inlineStr">
        <is>
          <t>Action</t>
        </is>
      </c>
      <c r="C45" s="5" t="inlineStr">
        <is>
          <t>Approved a Municipal Advisory Services Agreement with Stifel, Nicolaus &amp; Company through June 30, 2027, covering Town financing matters including the Eldora acquisition</t>
        </is>
      </c>
      <c r="D45" s="10" t="inlineStr">
        <is>
          <t>approved</t>
        </is>
      </c>
      <c r="E45" s="5" t="inlineStr">
        <is>
          <t>Unanimous of those present (6: Sterling, Miller, Kennedy, Joslin, Donahue, Giblin); absent: Larsen [roll call: Trustee Giblin joined the meeting late at 7:44 pm.]</t>
        </is>
      </c>
      <c r="F45" s="10" t="inlineStr">
        <is>
          <t>Donahue</t>
        </is>
      </c>
      <c r="G45" s="10" t="inlineStr">
        <is>
          <t>Miller</t>
        </is>
      </c>
      <c r="H45" s="10" t="inlineStr">
        <is>
          <t>Larsen</t>
        </is>
      </c>
      <c r="I45" s="10" t="inlineStr">
        <is>
          <t>2</t>
        </is>
      </c>
      <c r="J45" s="10" t="inlineStr">
        <is>
          <t>https://nederlandco.civicweb.net/document/131163/</t>
        </is>
      </c>
      <c r="K45" s="5" t="inlineStr">
        <is>
          <t>to approve the Municipal Advisory Services Agreement with Stifel, Nicolaus &amp; Company, Incorporated, and to authorize the Town Manager to execute the agreement, subject to any final non- substantive revisions approved by the Town Attorney</t>
        </is>
      </c>
    </row>
    <row r="46">
      <c r="A46" s="9" t="n">
        <v>46224</v>
      </c>
      <c r="B46" s="10" t="inlineStr">
        <is>
          <t>Executive session</t>
        </is>
      </c>
      <c r="C46" s="5" t="inlineStr">
        <is>
          <t>Executive session: purchase of property and operations for recreational activities (C.R.S. 24-6-402(4) a, e, g, b); issues subject to negotiation</t>
        </is>
      </c>
      <c r="D46" s="10" t="inlineStr">
        <is>
          <t>approved</t>
        </is>
      </c>
      <c r="E46" s="5" t="inlineStr">
        <is>
          <t>Unanimous of those present (7: Sterling, Joslin, Larsen, Giblin, Kennedy, Miller, Donahue) [roll call: Trustee Kennedy joined the meeting late at 6:03 pm. Mayor Pro Tem Miller joined the meeting late at 6:04 pm.]</t>
        </is>
      </c>
      <c r="F46" s="10" t="inlineStr">
        <is>
          <t>Sterling</t>
        </is>
      </c>
      <c r="G46" s="10" t="inlineStr">
        <is>
          <t>Giblin</t>
        </is>
      </c>
      <c r="H46" s="10" t="inlineStr"/>
      <c r="I46" s="10" t="inlineStr">
        <is>
          <t>1</t>
        </is>
      </c>
      <c r="J46" s="10" t="inlineStr">
        <is>
          <t>https://nederlandco.civicweb.net/document/131167/</t>
        </is>
      </c>
      <c r="K46" s="5" t="inlineStr">
        <is>
          <t>to enter into executive session pursuant to C.R.S. section 24-6-402(4)(a), (4}(b), (4)(e)(I), and (4)(g) for consideration of and discussion of the Town’s purchase of property and operations for recreational activities and other municipal services, including issues subject to negotiation, to receive legal advice, to instruct negotiators regarding the same, and also pursuant to C.R.S. section 24-6-402(4)(a), (4)(b), and (4)(e)(I) for consideration of and discussion of the Town’s potential acquisition of property in the downtown area</t>
        </is>
      </c>
    </row>
    <row r="47">
      <c r="A47" s="9" t="n">
        <v>46252</v>
      </c>
      <c r="B47" s="10" t="inlineStr">
        <is>
          <t>Executive session</t>
        </is>
      </c>
      <c r="C47" s="5" t="inlineStr">
        <is>
          <t>Executive session: purchase of property and operations for recreational activities (C.R.S. 24-6-402(4) f, a, b, e, g); issues subject to negotiation; also: Town Administrator/Manager personnel matter</t>
        </is>
      </c>
      <c r="D47" s="10" t="inlineStr">
        <is>
          <t>approved</t>
        </is>
      </c>
      <c r="E47" s="5" t="inlineStr">
        <is>
          <t>Unanimous of those present (6: Sterling, Miller, Donahue, Joslin, Giblin, Kennedy); absent: Larsen [roll call: Trustee Giblin joined the meeting at 6:05 pm.]</t>
        </is>
      </c>
      <c r="F47" s="10" t="inlineStr">
        <is>
          <t>Sterling</t>
        </is>
      </c>
      <c r="G47" s="10" t="inlineStr">
        <is>
          <t>Miller</t>
        </is>
      </c>
      <c r="H47" s="10" t="inlineStr">
        <is>
          <t>Larsen</t>
        </is>
      </c>
      <c r="I47" s="10" t="inlineStr">
        <is>
          <t>1</t>
        </is>
      </c>
      <c r="J47" s="10" t="inlineStr">
        <is>
          <t>https://nederlandco.civicweb.net/document/132377/</t>
        </is>
      </c>
      <c r="K47" s="5" t="inlineStr">
        <is>
          <t>to enter into executive session pursuant to CRS section 24-6-402(4)(f)(I} to discuss the Town Manager who has consented to the executive session and executive session pursuant to C.R.S. section 24-6- 402(4)(a), (4)(b), (4)(e)(1), and (4)(g) for consideration of and discussion of the Town’s purchase of property and operations for recreational activities and other municipal services, including issues subject to negotiation, to receive legal advice, to instruct negotiators regarding the same</t>
        </is>
      </c>
    </row>
    <row r="48">
      <c r="A48" s="9" t="n">
        <v>46266</v>
      </c>
      <c r="B48" s="10" t="inlineStr">
        <is>
          <t>Executive session</t>
        </is>
      </c>
      <c r="C48" s="5" t="inlineStr">
        <is>
          <t>Executive session: purchase of property and operations for recreational activities (C.R.S. 24-6-402(4) a, b, g); issues subject to negotiation</t>
        </is>
      </c>
      <c r="D48" s="10" t="inlineStr">
        <is>
          <t>approved</t>
        </is>
      </c>
      <c r="E48" s="5" t="inlineStr">
        <is>
          <t>Unanimous of those present (5: Sterling, Miller, Donahue, Joslin, Giblin); absent: Larsen [roll call: Trustee Giblin joined the meeting at 6:42 pm.]</t>
        </is>
      </c>
      <c r="F48" s="10" t="inlineStr">
        <is>
          <t>Sterling</t>
        </is>
      </c>
      <c r="G48" s="10" t="inlineStr">
        <is>
          <t>Miller</t>
        </is>
      </c>
      <c r="H48" s="10" t="inlineStr">
        <is>
          <t>Larsen</t>
        </is>
      </c>
      <c r="I48" s="10" t="inlineStr">
        <is>
          <t>1</t>
        </is>
      </c>
      <c r="J48" s="10" t="inlineStr">
        <is>
          <t>https://nederlandco.civicweb.net/document/132385/</t>
        </is>
      </c>
      <c r="K48" s="5" t="inlineStr">
        <is>
          <t>to enter into executive session pursuant to C.R.S. section 24-6-402(4)(a), (4)(b), (4)(e}(I), and (4)(g) for consideration of and discussion of the Town’s purchase of property and operations for recreational activities and other municipal services, including issues subject to negotiation, to receive legal advice, to instruct negotiators regarding the same</t>
        </is>
      </c>
    </row>
    <row r="49">
      <c r="A49" s="9" t="n">
        <v>46280</v>
      </c>
      <c r="B49" s="10" t="inlineStr">
        <is>
          <t>Executive session</t>
        </is>
      </c>
      <c r="C49" s="5" t="inlineStr">
        <is>
          <t>Executive session: purchase of property and operations for recreational activities (C.R.S. 24-6-402(4) a, b, e, g); issues subject to negotiation</t>
        </is>
      </c>
      <c r="D49" s="10" t="inlineStr">
        <is>
          <t>approved</t>
        </is>
      </c>
      <c r="E49" s="5" t="inlineStr">
        <is>
          <t>Unanimous of those present (6: Sterling, Dewart, Miller, Joslin, Giblin, Larsen); absent: Donahue [roll call: Mayor Pro Tem Miller and Trustee Joslin joined the meeting at 6:05 pm.]</t>
        </is>
      </c>
      <c r="F49" s="10" t="inlineStr">
        <is>
          <t>Sterling</t>
        </is>
      </c>
      <c r="G49" s="10" t="inlineStr">
        <is>
          <t>Dewart</t>
        </is>
      </c>
      <c r="H49" s="10" t="inlineStr">
        <is>
          <t>Donahue</t>
        </is>
      </c>
      <c r="I49" s="10" t="inlineStr">
        <is>
          <t>1</t>
        </is>
      </c>
      <c r="J49" s="10" t="inlineStr">
        <is>
          <t>https://nederlandco.civicweb.net/document/132361/</t>
        </is>
      </c>
      <c r="K49" s="5" t="inlineStr">
        <is>
          <t>to enter into executive session pursuant to C.R.S. section 24-6-402(4)(a), (4)(b), (4)(e)(I), and (4)(g) for consideration of and discussion of the Town’s purchase of property and operations for recreational activities and other municipal services, including issues subject to negotiation, to receive legal advice, to instruct negotiators regarding the same</t>
        </is>
      </c>
    </row>
  </sheetData>
  <autoFilter ref="A1:K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2026-10-30T02:23:27Z</dcterms:created>
  <dcterms:modified xmlns:dcterms="http://purl.org/dc/terms/" xmlns:xsi="http://www.w3.org/2001/XMLSchema-instance" xsi:type="dcterms:W3CDTF">2026-10-30T02:23:27Z</dcterms:modified>
</cp:coreProperties>
</file>